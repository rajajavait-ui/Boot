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tabRatio="998" activeTab="27"/>
  </bookViews>
  <sheets>
    <sheet name="1. Bank balance statement" sheetId="5" r:id="rId1"/>
    <sheet name="Summary-AE" sheetId="61" state="hidden" r:id="rId2"/>
    <sheet name="Summary-MRGLLP" sheetId="45" state="hidden" r:id="rId3"/>
    <sheet name="Summary-Siddipet" sheetId="22" state="hidden" r:id="rId4"/>
    <sheet name="Summary-PMRE" sheetId="44" state="hidden" r:id="rId5"/>
    <sheet name="Summar-VOC" sheetId="46" state="hidden" r:id="rId6"/>
    <sheet name="Summary-ESRALLP" sheetId="47" state="hidden" r:id="rId7"/>
    <sheet name="Summary-GWE" sheetId="49" state="hidden" r:id="rId8"/>
    <sheet name="Summary-LG Malakpet" sheetId="50" state="hidden" r:id="rId9"/>
    <sheet name="Summary-CRE" sheetId="51" state="hidden" r:id="rId10"/>
    <sheet name="SUMMARY-B&amp;C" sheetId="52" state="hidden" r:id="rId11"/>
    <sheet name="Summary-MV" sheetId="53" state="hidden" r:id="rId12"/>
    <sheet name="Summary-M&amp;M" sheetId="54" state="hidden" r:id="rId13"/>
    <sheet name="Summary-PMB" sheetId="55" state="hidden" r:id="rId14"/>
    <sheet name="Summary-K&amp;M" sheetId="56" state="hidden" r:id="rId15"/>
    <sheet name=" Summary- Timmapur" sheetId="16" state="hidden" r:id="rId16"/>
    <sheet name="Summary-Vikarabad" sheetId="65" state="hidden" r:id="rId17"/>
    <sheet name=" summary- Vikaraba(2)" sheetId="17" state="hidden" r:id="rId18"/>
    <sheet name="Summary-SC&amp;R LLP" sheetId="57" state="hidden" r:id="rId19"/>
    <sheet name="Summary-MFHHLLP" sheetId="58" state="hidden" r:id="rId20"/>
    <sheet name="Summary-Serene LLP" sheetId="59" r:id="rId21"/>
    <sheet name=" summary- MCS" sheetId="18" state="hidden" r:id="rId22"/>
    <sheet name="Summary-SSLLP" sheetId="38" state="hidden" r:id="rId23"/>
    <sheet name="Summary-NQB" sheetId="60" r:id="rId24"/>
    <sheet name="Summary-MRGVHydLLP" sheetId="40" state="hidden" r:id="rId25"/>
    <sheet name="Summary -Manilal" sheetId="62" state="hidden" r:id="rId26"/>
    <sheet name="Summary-Vista Homes" sheetId="63" state="hidden" r:id="rId27"/>
    <sheet name="Summary-Miriyalaguda LLP" sheetId="64" r:id="rId28"/>
    <sheet name="7. Inter group loans" sheetId="13" state="hidden" r:id="rId29"/>
  </sheets>
  <definedNames>
    <definedName name="_xlnm.Print_Area" localSheetId="17">' summary- Vikaraba(2)'!$A$1:$E$53</definedName>
    <definedName name="_xlnm.Print_Area" localSheetId="22">'Summary-SSLLP'!$A$1:$E$54</definedName>
    <definedName name="_xlnm.Print_Area" localSheetId="15">' Summary- Timmapur'!$A$1:$E$57</definedName>
    <definedName name="_xlnm.Print_Area" localSheetId="10">'SUMMARY-B&amp;C'!$A$1:$E$49</definedName>
    <definedName name="_xlnm.Print_Area" localSheetId="13">'Summary-PMB'!$A$1:$F$49</definedName>
    <definedName name="_xlnm.Print_Area" localSheetId="23">'Summary-NQB'!$A$1:$E$52</definedName>
    <definedName name="_xlnm.Print_Area" localSheetId="0">'1. Bank balance statement'!$A$1:$H$16</definedName>
    <definedName name="_xlnm.Print_Area" localSheetId="8">'Summary-LG Malakpet'!$A$1:$E$50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<sst xmlns="http://schemas.openxmlformats.org/spreadsheetml/2006/main" count="1728" uniqueCount="183">
  <si>
    <t>Weekly payments statement.</t>
  </si>
  <si>
    <t>Prepared by:A.Pallavi Raja</t>
  </si>
  <si>
    <t>Date:</t>
  </si>
  <si>
    <t>S No.</t>
  </si>
  <si>
    <t>Individual/company/firm</t>
  </si>
  <si>
    <t>Bank name</t>
  </si>
  <si>
    <t>Account no.</t>
  </si>
  <si>
    <t>Book balance</t>
  </si>
  <si>
    <t>Bank Balance</t>
  </si>
  <si>
    <t>Last BRS date</t>
  </si>
  <si>
    <t>Pending task</t>
  </si>
  <si>
    <t>Serene Constructions LLP</t>
  </si>
  <si>
    <t>Yes Bank Ltd</t>
  </si>
  <si>
    <t>'009763700002308</t>
  </si>
  <si>
    <t>05-12-2025</t>
  </si>
  <si>
    <t>N Square Biotech Pvt Ltd</t>
  </si>
  <si>
    <t>ICICI  Bank</t>
  </si>
  <si>
    <t>112105001906</t>
  </si>
  <si>
    <t>Kotak Bank</t>
  </si>
  <si>
    <t>Modi Realty Miryalaguda LLP</t>
  </si>
  <si>
    <t>YES Bank</t>
  </si>
  <si>
    <t>009763700001888</t>
  </si>
  <si>
    <t>ICICI Bank</t>
  </si>
  <si>
    <t>112105001879</t>
  </si>
  <si>
    <t xml:space="preserve">Note: Show balances of all operative and inoprative accounts. </t>
  </si>
  <si>
    <t>FD without lein</t>
  </si>
  <si>
    <t>FD with Lein</t>
  </si>
  <si>
    <t>OD limit</t>
  </si>
  <si>
    <t>OD limit utilised</t>
  </si>
  <si>
    <t>Company: Alpine Estates</t>
  </si>
  <si>
    <t>Prepared by:</t>
  </si>
  <si>
    <t>A.Pallavi Raja</t>
  </si>
  <si>
    <t>Projecct:</t>
  </si>
  <si>
    <t>Weekly payments (include all payments)</t>
  </si>
  <si>
    <t>Cr balance</t>
  </si>
  <si>
    <t>Amount</t>
  </si>
  <si>
    <t>Pay to + VRN/CRN + Desc.</t>
  </si>
  <si>
    <t>On a/c.</t>
  </si>
  <si>
    <t>Hire charges on a/c.</t>
  </si>
  <si>
    <t>Hire charges Dept.</t>
  </si>
  <si>
    <t>Job work</t>
  </si>
  <si>
    <t>Advance</t>
  </si>
  <si>
    <t xml:space="preserve">Other </t>
  </si>
  <si>
    <t>MPSVC -Accounts Managemnt Services for the month of NOV'25</t>
  </si>
  <si>
    <t>Sub-total A</t>
  </si>
  <si>
    <t>Item</t>
  </si>
  <si>
    <t>Last weeks payments made after statement</t>
  </si>
  <si>
    <t>Payment for current week - Sat to Fri</t>
  </si>
  <si>
    <t>Remarks</t>
  </si>
  <si>
    <t>Cash withdrawals</t>
  </si>
  <si>
    <t>Bank/book balance</t>
  </si>
  <si>
    <t>Bank/book balance - sub total A - cash withdrawals</t>
  </si>
  <si>
    <t>Add: OD limit</t>
  </si>
  <si>
    <t>Net balance available for payments - Sub-total B</t>
  </si>
  <si>
    <t>Payments to be made for current week.</t>
  </si>
  <si>
    <t>Suppliers bills</t>
  </si>
  <si>
    <t>FD - cancel/make</t>
  </si>
  <si>
    <t>Other:</t>
  </si>
  <si>
    <t>Add: Payments not approved</t>
  </si>
  <si>
    <t>Add:</t>
  </si>
  <si>
    <t>Sub-total C</t>
  </si>
  <si>
    <t>Balance: Sub-total B - C</t>
  </si>
  <si>
    <t>Pending supplier bills (Subtotal F)</t>
  </si>
  <si>
    <t>Payments received  during the week.</t>
  </si>
  <si>
    <t>Opening balance last week (Saturday)</t>
  </si>
  <si>
    <t>Cash withdrawn during week</t>
  </si>
  <si>
    <t>Cash receipts / on a/c reversal</t>
  </si>
  <si>
    <t>Subtotal D</t>
  </si>
  <si>
    <t>Cash deposited in bank during week</t>
  </si>
  <si>
    <t>Cash expenditure during week</t>
  </si>
  <si>
    <t>Sub total E</t>
  </si>
  <si>
    <t>Cash closing balance (Friday) (D - E)</t>
  </si>
  <si>
    <t>Supplier bills statement</t>
  </si>
  <si>
    <t>Supplier name + due in month/year</t>
  </si>
  <si>
    <t>Bill amount</t>
  </si>
  <si>
    <t>Balance due</t>
  </si>
  <si>
    <t>VRN + Remarks</t>
  </si>
  <si>
    <t>Sub total F</t>
  </si>
  <si>
    <t>Company: Modi Realty Gagillapur LLP</t>
  </si>
  <si>
    <t>MPSVC -CA &amp; CS Services for the month of NOV'2025</t>
  </si>
  <si>
    <t xml:space="preserve">Shruthi Agarwal Professional fees </t>
  </si>
  <si>
    <t>Company: Modi Realty Siddipet LLP</t>
  </si>
  <si>
    <t>MPSVC -CA &amp; CS Services for the month of NOV'25</t>
  </si>
  <si>
    <t>Company: Paramount Estates</t>
  </si>
  <si>
    <t>A.Pallavi raja</t>
  </si>
  <si>
    <t>MPSVC -Accounts Management ,CA &amp; CS Services for the month of NOV'25</t>
  </si>
  <si>
    <t>Company: Villa Orchids</t>
  </si>
  <si>
    <t>Shruthi Agarwal Professional fees for form-8</t>
  </si>
  <si>
    <t>Company: East Side Residency Annoziguda LLP</t>
  </si>
  <si>
    <t>Shruthi Agarwal Professional fees</t>
  </si>
  <si>
    <t>Company: Greenwood Estates</t>
  </si>
  <si>
    <t>MPSVC -Accounts Management Services for the month of NOV'25</t>
  </si>
  <si>
    <t>Company:Modi Realty LG Malakpet LLP</t>
  </si>
  <si>
    <t>MPSVC -Accounts Management ,CA &amp; CS Services for the month of OCT'25</t>
  </si>
  <si>
    <t>ECARD Mallareddy towards colour village map prints</t>
  </si>
  <si>
    <t>Company:Modi Realty Creatopolis LLP</t>
  </si>
  <si>
    <t>28-11-2025</t>
  </si>
  <si>
    <t>Company:B &amp; C Estates</t>
  </si>
  <si>
    <t>Company:Modi Ventures</t>
  </si>
  <si>
    <t>MPSVC -Accounts Management Services for the month of NOV '25</t>
  </si>
  <si>
    <t>Company:Modi &amp; Modi Constructions</t>
  </si>
  <si>
    <t>Company:Paramount Builders</t>
  </si>
  <si>
    <t>MPSVC -CA &amp; CS  Services for the month of NOV'25</t>
  </si>
  <si>
    <t>Company:Kadakia &amp; Modi Housing</t>
  </si>
  <si>
    <t xml:space="preserve">Janardhan Prasad towards granite tile-fiitter  </t>
  </si>
  <si>
    <t>Company: Modi Realty Timmapur LLP</t>
  </si>
  <si>
    <t>Project:Blue Bell Residency at Timmapur</t>
  </si>
  <si>
    <t>MHSVC Services towards PO'S bill no 10208</t>
  </si>
  <si>
    <t>I.T,E&amp;D,promotion exp etc for month of NOV'25</t>
  </si>
  <si>
    <t>Sai Krishna Salary for the month of  NOV'25 Approx</t>
  </si>
  <si>
    <t>TDS for the Month of  Nov'25</t>
  </si>
  <si>
    <t>MPSVC-Accounts management Services,&amp; IT Services CA &amp; CS Services for the month of  OCT'25&amp;NOV'25</t>
  </si>
  <si>
    <t>Company: Modi Realty Vikarabad LLP</t>
  </si>
  <si>
    <t>Project:Blue bell Residency</t>
  </si>
  <si>
    <t>MPSVC-Accounts Management Services,CA &amp; CS Services for the month of NOV'25</t>
  </si>
  <si>
    <t>Pallavi</t>
  </si>
  <si>
    <t>MPSVC-Accounts Management Services,CA &amp; CS Services for the month of Aug'25</t>
  </si>
  <si>
    <t>Company:</t>
  </si>
  <si>
    <t>Serene Clubs &amp; Resorts LLP</t>
  </si>
  <si>
    <t>MPSVC -Accounts Managemnt Services,CA &amp; CS  Services for the month of NOV'25</t>
  </si>
  <si>
    <t>Modi Farm House Hyderabad LLP</t>
  </si>
  <si>
    <t>Housing loan Incentives for Prabhakat Reddy,Rambabu,Pavan ,Mahender</t>
  </si>
  <si>
    <t>towards Final Settlement of Syed Golam Sarwar 2nd Installment</t>
  </si>
  <si>
    <t>MHSVC Services towards PO,S &amp; WO'S service charges</t>
  </si>
  <si>
    <t>MPSVC -Accounts Managemnt Services,CA &amp; CS  Services for the month of NOV '25</t>
  </si>
  <si>
    <t>IQ Constructions towards aganist STP work &amp; Shuttering and bar bending work done bill no 015,016</t>
  </si>
  <si>
    <t>R6 towards M-25 Pump bills no 301,299,300</t>
  </si>
  <si>
    <t>T kurmanna towards STP Soil shifting from other site etc</t>
  </si>
  <si>
    <t>Jayaram  Nenavath towards STP collection tank water proofing work done</t>
  </si>
  <si>
    <t xml:space="preserve">Shruthi Agarwal Professional Services fees </t>
  </si>
  <si>
    <t>Kailash Pandey towards STP Collection tank external plastering work done</t>
  </si>
  <si>
    <t>Company:Modi Consultancy Services</t>
  </si>
  <si>
    <t>Project:NA</t>
  </si>
  <si>
    <t>towards Villa 3,4 Maintances Charges for F.Y24-25</t>
  </si>
  <si>
    <t>Hoarding rent Aug-25</t>
  </si>
  <si>
    <t>MPSVC-Accounts Management Services for the month of Aug'25</t>
  </si>
  <si>
    <t>Varna Media</t>
  </si>
  <si>
    <t>Company:Summit Sales LLP - ICICI BANK</t>
  </si>
  <si>
    <t>Project:</t>
  </si>
  <si>
    <t>Hemendra final settlement 1st Installment</t>
  </si>
  <si>
    <t>towards Final Settlement of D Jaya Pradha 2nd Installment</t>
  </si>
  <si>
    <t>MPSVC-Accounts management Services,CA &amp; CS Services for the month of NOV'25</t>
  </si>
  <si>
    <t>Company: M &amp;M Association</t>
  </si>
  <si>
    <t>TDS for the Month of NOV'25</t>
  </si>
  <si>
    <t>AS Agarwal. towards fee for professional services  F.Y 25</t>
  </si>
  <si>
    <t>Shruthi Agarwal Professional services-annual returns</t>
  </si>
  <si>
    <t>MPSVC Services towards CA &amp; CS &amp; Accounts management services</t>
  </si>
  <si>
    <t>MPPL</t>
  </si>
  <si>
    <t>Company:Modi Realty GV Hyderabad LLP</t>
  </si>
  <si>
    <t>Company:Manilal Modi Charitable Foundation</t>
  </si>
  <si>
    <t>MPSVC-Accounts management Services,CA &amp; CS Services for the month of  NOV'25</t>
  </si>
  <si>
    <t>Company:Vista Homes</t>
  </si>
  <si>
    <t>MPSVC-Accounts management Services,CA &amp; CS Services for the month of NOV '25</t>
  </si>
  <si>
    <t>Company:Modi Realty Miryalaguda LLP</t>
  </si>
  <si>
    <t>AVR Gulmohar Homes</t>
  </si>
  <si>
    <t>MHTR Trading aganist credit balances</t>
  </si>
  <si>
    <t>Hoarding Rent for Nov'25</t>
  </si>
  <si>
    <t>MHSVC Services aganist Service charges on PO's</t>
  </si>
  <si>
    <t xml:space="preserve">RS Bajaj and Associates towards consultancy fees </t>
  </si>
  <si>
    <t>Service Provider Bills</t>
  </si>
  <si>
    <t>Shreyas Services</t>
  </si>
  <si>
    <t>Housing Keeping Charges for the month of  NOV'25</t>
  </si>
  <si>
    <t>Shruti Agarwal</t>
  </si>
  <si>
    <t>Consultancy ChargesForm-8</t>
  </si>
  <si>
    <t>Sunrise Enterprises</t>
  </si>
  <si>
    <t>Coffee Machine Rent for the Month of NOV'25</t>
  </si>
  <si>
    <t>Details of secured/ unsecured loans.</t>
  </si>
  <si>
    <t>Prepared by:Sangeetha</t>
  </si>
  <si>
    <t>Date:02-05-2025</t>
  </si>
  <si>
    <t>Last updated on:02-05-2025</t>
  </si>
  <si>
    <t>Details of unsecured loans:</t>
  </si>
  <si>
    <t>Aedis</t>
  </si>
  <si>
    <t>MHPL</t>
  </si>
  <si>
    <t>VCPL</t>
  </si>
  <si>
    <t>HGPL</t>
  </si>
  <si>
    <t>AMS</t>
  </si>
  <si>
    <t>Villa Ordchids</t>
  </si>
  <si>
    <t>Details of secured loans:</t>
  </si>
  <si>
    <t>Lendors name</t>
  </si>
  <si>
    <t>Loan approved</t>
  </si>
  <si>
    <t>Loan released</t>
  </si>
  <si>
    <t>Outstanding loan</t>
  </si>
  <si>
    <t>NIL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</si>
</sst>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-* #,##0.00_-;\-* #,##0.00_-;_-* &quot;-&quot;??_-;_-@_-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-* #,##0_-;\-* #,##0_-;_-* &quot;-&quot;??_-;_-@_-"/>
    <numFmt numFmtId="181" formatCode="[$-F800]dddd\,\ mmmm\ dd\,\ yyyy"/>
    <numFmt numFmtId="182" formatCode="[$-14009]dd/mm/yyyy;@"/>
    <numFmt numFmtId="183" formatCode="[$-409]d/mmm/yy;@"/>
    <numFmt numFmtId="184" formatCode="dd/mm/yyyy"/>
  </numFmts>
  <fonts count="24">
    <font>
      <sz val="10"/>
      <name val="Times New Roman"/>
      <charset val="134"/>
    </font>
    <font>
      <sz val="9.5"/>
      <name val="Times New Roman"/>
      <charset val="0"/>
    </font>
    <font>
      <sz val="10"/>
      <color theme="1"/>
      <name val="Times New Roman"/>
      <charset val="134"/>
    </font>
    <font>
      <sz val="10"/>
      <name val="Times New Roman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/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</cellStyleXfs>
  <cellXfs count="87">
    <xf numFmtId="0" fontId="0" fillId="0" borderId="0" xfId="0"/>
    <xf numFmtId="0" fontId="0" fillId="0" borderId="0" xfId="0" applyAlignment="1">
      <alignment horizontal="left"/>
    </xf>
    <xf numFmtId="0" fontId="0" fillId="0" borderId="0" xfId="0" applyProtection="1">
      <protection locked="0"/>
    </xf>
    <xf numFmtId="180" fontId="0" fillId="0" borderId="0" xfId="1" applyNumberFormat="1" applyFont="1" applyProtection="1">
      <protection locked="0"/>
    </xf>
    <xf numFmtId="181" fontId="0" fillId="0" borderId="0" xfId="0" applyNumberFormat="1" applyProtection="1">
      <protection locked="0"/>
    </xf>
    <xf numFmtId="180" fontId="0" fillId="0" borderId="0" xfId="1" applyNumberFormat="1" applyFont="1" applyProtection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180" fontId="0" fillId="0" borderId="1" xfId="1" applyNumberFormat="1" applyFont="1" applyBorder="1" applyAlignment="1" applyProtection="1">
      <alignment horizontal="center"/>
    </xf>
    <xf numFmtId="181" fontId="0" fillId="0" borderId="1" xfId="0" applyNumberFormat="1" applyBorder="1" applyAlignment="1">
      <alignment horizontal="center"/>
    </xf>
    <xf numFmtId="0" fontId="0" fillId="0" borderId="0" xfId="0" applyAlignment="1" applyProtection="1">
      <alignment horizontal="left"/>
      <protection locked="0"/>
    </xf>
    <xf numFmtId="181" fontId="0" fillId="0" borderId="0" xfId="1" applyNumberFormat="1" applyFont="1" applyProtection="1">
      <protection locked="0"/>
    </xf>
    <xf numFmtId="180" fontId="0" fillId="0" borderId="1" xfId="1" applyNumberFormat="1" applyFont="1" applyBorder="1" applyAlignment="1" applyProtection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wrapText="1"/>
    </xf>
    <xf numFmtId="180" fontId="0" fillId="0" borderId="0" xfId="50" applyNumberFormat="1" applyFont="1" applyProtection="1"/>
    <xf numFmtId="0" fontId="0" fillId="0" borderId="0" xfId="0" applyFont="1" applyAlignment="1">
      <alignment horizontal="left"/>
    </xf>
    <xf numFmtId="180" fontId="0" fillId="0" borderId="0" xfId="50" applyNumberFormat="1" applyFont="1" applyProtection="1">
      <protection locked="0"/>
    </xf>
    <xf numFmtId="182" fontId="0" fillId="0" borderId="0" xfId="50" applyNumberFormat="1" applyFont="1" applyProtection="1">
      <protection locked="0"/>
    </xf>
    <xf numFmtId="0" fontId="0" fillId="0" borderId="0" xfId="0" applyAlignment="1">
      <alignment horizontal="center"/>
    </xf>
    <xf numFmtId="180" fontId="0" fillId="0" borderId="0" xfId="50" applyNumberFormat="1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180" fontId="0" fillId="0" borderId="1" xfId="50" applyNumberFormat="1" applyFont="1" applyBorder="1" applyAlignment="1">
      <alignment horizontal="center" wrapText="1"/>
    </xf>
    <xf numFmtId="0" fontId="0" fillId="0" borderId="0" xfId="0" applyAlignment="1">
      <alignment horizontal="right"/>
    </xf>
    <xf numFmtId="180" fontId="0" fillId="0" borderId="0" xfId="50" applyNumberFormat="1" applyFont="1"/>
    <xf numFmtId="180" fontId="0" fillId="0" borderId="0" xfId="50" applyNumberFormat="1" applyFont="1" applyFill="1"/>
    <xf numFmtId="0" fontId="1" fillId="0" borderId="0" xfId="51" applyFont="1" applyFill="1" applyBorder="1" applyAlignment="1" applyProtection="1">
      <protection locked="0"/>
    </xf>
    <xf numFmtId="180" fontId="0" fillId="0" borderId="0" xfId="50" applyNumberFormat="1" applyFont="1" applyFill="1" applyAlignment="1">
      <alignment wrapText="1"/>
    </xf>
    <xf numFmtId="0" fontId="0" fillId="0" borderId="1" xfId="0" applyNumberFormat="1" applyFill="1" applyBorder="1" applyProtection="1">
      <protection locked="0"/>
    </xf>
    <xf numFmtId="180" fontId="0" fillId="0" borderId="0" xfId="50" applyNumberFormat="1" applyFont="1" applyFill="1"/>
    <xf numFmtId="0" fontId="0" fillId="0" borderId="1" xfId="0" applyBorder="1"/>
    <xf numFmtId="180" fontId="0" fillId="0" borderId="1" xfId="50" applyNumberFormat="1" applyFont="1" applyBorder="1"/>
    <xf numFmtId="180" fontId="0" fillId="0" borderId="1" xfId="50" applyNumberFormat="1" applyFont="1" applyBorder="1" applyAlignment="1" applyProtection="1">
      <alignment horizontal="center" wrapText="1"/>
    </xf>
    <xf numFmtId="180" fontId="0" fillId="0" borderId="0" xfId="0" applyNumberFormat="1"/>
    <xf numFmtId="180" fontId="0" fillId="0" borderId="1" xfId="50" applyNumberFormat="1" applyFont="1" applyBorder="1" applyProtection="1"/>
    <xf numFmtId="180" fontId="0" fillId="0" borderId="0" xfId="50" applyNumberFormat="1" applyFont="1" applyBorder="1" applyProtection="1">
      <protection locked="0"/>
    </xf>
    <xf numFmtId="180" fontId="0" fillId="0" borderId="0" xfId="50" applyNumberFormat="1" applyFont="1" applyBorder="1" applyProtection="1"/>
    <xf numFmtId="180" fontId="0" fillId="0" borderId="1" xfId="50" applyNumberFormat="1" applyFont="1" applyBorder="1" applyAlignment="1">
      <alignment horizontal="center"/>
    </xf>
    <xf numFmtId="180" fontId="0" fillId="0" borderId="0" xfId="50" applyNumberFormat="1" applyFont="1" applyBorder="1" applyAlignment="1" applyProtection="1">
      <alignment horizontal="center" wrapText="1"/>
    </xf>
    <xf numFmtId="183" fontId="0" fillId="0" borderId="0" xfId="0" applyNumberFormat="1" applyAlignment="1" applyProtection="1">
      <alignment horizontal="left"/>
      <protection locked="0"/>
    </xf>
    <xf numFmtId="180" fontId="0" fillId="0" borderId="0" xfId="1" applyNumberFormat="1" applyAlignment="1" applyProtection="1">
      <alignment horizontal="right"/>
      <protection locked="0"/>
    </xf>
    <xf numFmtId="180" fontId="0" fillId="0" borderId="0" xfId="1" applyNumberFormat="1" applyProtection="1">
      <protection locked="0"/>
    </xf>
    <xf numFmtId="180" fontId="0" fillId="0" borderId="0" xfId="50" applyNumberFormat="1" applyFont="1" applyBorder="1" applyAlignment="1" applyProtection="1">
      <alignment horizontal="center" textRotation="90" wrapText="1"/>
      <protection locked="0"/>
    </xf>
    <xf numFmtId="180" fontId="0" fillId="0" borderId="0" xfId="1" applyNumberFormat="1" applyAlignment="1" applyProtection="1">
      <alignment horizontal="right"/>
      <protection locked="0"/>
    </xf>
    <xf numFmtId="180" fontId="0" fillId="0" borderId="0" xfId="1" applyNumberFormat="1" applyAlignment="1" applyProtection="1">
      <protection locked="0"/>
    </xf>
    <xf numFmtId="180" fontId="0" fillId="0" borderId="0" xfId="1" applyNumberFormat="1" applyAlignment="1" applyProtection="1">
      <alignment horizontal="left"/>
      <protection locked="0"/>
    </xf>
    <xf numFmtId="183" fontId="0" fillId="0" borderId="0" xfId="0" applyNumberFormat="1" applyAlignment="1" applyProtection="1">
      <alignment horizontal="right"/>
      <protection locked="0"/>
    </xf>
    <xf numFmtId="1" fontId="0" fillId="0" borderId="0" xfId="0" applyNumberFormat="1" applyAlignment="1" applyProtection="1">
      <alignment horizontal="left"/>
      <protection locked="0"/>
    </xf>
    <xf numFmtId="0" fontId="0" fillId="0" borderId="1" xfId="0" applyBorder="1" applyProtection="1">
      <protection locked="0"/>
    </xf>
    <xf numFmtId="180" fontId="0" fillId="0" borderId="1" xfId="0" applyNumberFormat="1" applyBorder="1" applyProtection="1">
      <protection locked="0"/>
    </xf>
    <xf numFmtId="180" fontId="0" fillId="0" borderId="1" xfId="50" applyNumberFormat="1" applyFont="1" applyBorder="1" applyProtection="1">
      <protection locked="0"/>
    </xf>
    <xf numFmtId="180" fontId="0" fillId="0" borderId="0" xfId="50" applyNumberFormat="1" applyFont="1" applyFill="1"/>
    <xf numFmtId="180" fontId="0" fillId="0" borderId="0" xfId="50" applyNumberFormat="1" applyFont="1" applyFill="1" applyAlignment="1">
      <alignment wrapText="1"/>
    </xf>
    <xf numFmtId="182" fontId="0" fillId="0" borderId="0" xfId="50" applyNumberFormat="1" applyFont="1" applyAlignment="1" applyProtection="1">
      <alignment horizontal="left"/>
      <protection locked="0"/>
    </xf>
    <xf numFmtId="180" fontId="0" fillId="0" borderId="0" xfId="50" applyNumberFormat="1" applyFont="1" applyAlignment="1">
      <alignment wrapText="1"/>
    </xf>
    <xf numFmtId="180" fontId="0" fillId="0" borderId="0" xfId="1" applyNumberFormat="1" applyFont="1" applyAlignment="1" applyProtection="1">
      <alignment horizontal="left" wrapText="1"/>
      <protection locked="0"/>
    </xf>
    <xf numFmtId="180" fontId="0" fillId="0" borderId="0" xfId="50" applyNumberFormat="1" applyFont="1" applyAlignment="1" applyProtection="1">
      <alignment horizontal="left" wrapText="1"/>
      <protection locked="0"/>
    </xf>
    <xf numFmtId="180" fontId="0" fillId="0" borderId="0" xfId="1" applyNumberFormat="1" applyFont="1" applyAlignment="1" applyProtection="1">
      <alignment horizontal="left"/>
      <protection locked="0"/>
    </xf>
    <xf numFmtId="180" fontId="0" fillId="0" borderId="0" xfId="50" applyNumberFormat="1" applyFont="1" applyAlignment="1" applyProtection="1">
      <alignment horizontal="left"/>
      <protection locked="0"/>
    </xf>
    <xf numFmtId="183" fontId="0" fillId="0" borderId="0" xfId="0" applyNumberFormat="1" applyFont="1" applyAlignment="1" applyProtection="1">
      <alignment horizontal="left"/>
      <protection locked="0"/>
    </xf>
    <xf numFmtId="1" fontId="0" fillId="0" borderId="0" xfId="0" applyNumberFormat="1" applyProtection="1">
      <protection locked="0"/>
    </xf>
    <xf numFmtId="1" fontId="0" fillId="0" borderId="1" xfId="0" applyNumberFormat="1" applyBorder="1" applyProtection="1">
      <protection locked="0"/>
    </xf>
    <xf numFmtId="180" fontId="0" fillId="0" borderId="0" xfId="50" applyNumberFormat="1" applyFont="1" applyFill="1" applyAlignment="1">
      <alignment wrapText="1"/>
    </xf>
    <xf numFmtId="0" fontId="0" fillId="0" borderId="1" xfId="0" applyBorder="1" applyAlignment="1">
      <alignment horizontal="right"/>
    </xf>
    <xf numFmtId="0" fontId="1" fillId="0" borderId="0" xfId="51" applyFont="1" applyFill="1" applyBorder="1" applyAlignment="1" applyProtection="1">
      <protection locked="0"/>
    </xf>
    <xf numFmtId="0" fontId="0" fillId="0" borderId="0" xfId="0" applyFill="1" applyProtection="1">
      <protection locked="0"/>
    </xf>
    <xf numFmtId="0" fontId="0" fillId="0" borderId="0" xfId="0" applyFill="1" applyAlignment="1">
      <alignment horizontal="left"/>
    </xf>
    <xf numFmtId="180" fontId="0" fillId="0" borderId="0" xfId="1" applyNumberFormat="1" applyFont="1" applyFill="1" applyProtection="1">
      <protection locked="0"/>
    </xf>
    <xf numFmtId="181" fontId="0" fillId="0" borderId="0" xfId="0" applyNumberFormat="1" applyFill="1" applyProtection="1">
      <protection locked="0"/>
    </xf>
    <xf numFmtId="180" fontId="0" fillId="0" borderId="0" xfId="1" applyNumberFormat="1" applyFont="1" applyFill="1" applyProtection="1"/>
    <xf numFmtId="184" fontId="0" fillId="0" borderId="0" xfId="0" applyNumberFormat="1" applyFill="1" applyAlignment="1" applyProtection="1">
      <alignment horizontal="left"/>
      <protection locked="0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180" fontId="0" fillId="0" borderId="1" xfId="1" applyNumberFormat="1" applyFont="1" applyFill="1" applyBorder="1" applyAlignment="1" applyProtection="1">
      <alignment horizontal="center"/>
    </xf>
    <xf numFmtId="181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wrapText="1"/>
    </xf>
    <xf numFmtId="0" fontId="2" fillId="0" borderId="0" xfId="0" applyFont="1" applyFill="1" applyProtection="1">
      <protection locked="0"/>
    </xf>
    <xf numFmtId="181" fontId="0" fillId="0" borderId="0" xfId="1" applyNumberFormat="1" applyFont="1" applyFill="1" applyProtection="1">
      <protection locked="0"/>
    </xf>
    <xf numFmtId="0" fontId="0" fillId="0" borderId="0" xfId="0" applyFill="1" applyAlignment="1" applyProtection="1">
      <alignment horizontal="left"/>
      <protection locked="0"/>
    </xf>
    <xf numFmtId="0" fontId="3" fillId="0" borderId="0" xfId="0" applyFont="1" applyFill="1" applyBorder="1" applyAlignment="1" applyProtection="1">
      <protection locked="0"/>
    </xf>
    <xf numFmtId="180" fontId="3" fillId="0" borderId="0" xfId="1" applyNumberFormat="1" applyFont="1" applyFill="1" applyProtection="1">
      <protection locked="0"/>
    </xf>
    <xf numFmtId="184" fontId="3" fillId="0" borderId="0" xfId="1" applyNumberFormat="1" applyFont="1" applyFill="1" applyAlignment="1" applyProtection="1">
      <alignment horizontal="left"/>
      <protection locked="0"/>
    </xf>
    <xf numFmtId="184" fontId="3" fillId="0" borderId="0" xfId="0" applyNumberFormat="1" applyFont="1" applyFill="1" applyBorder="1" applyAlignment="1" applyProtection="1">
      <alignment horizontal="left"/>
      <protection locked="0"/>
    </xf>
    <xf numFmtId="180" fontId="0" fillId="0" borderId="1" xfId="1" applyNumberFormat="1" applyFont="1" applyFill="1" applyBorder="1" applyAlignment="1" applyProtection="1">
      <alignment horizontal="center" wrapText="1"/>
    </xf>
    <xf numFmtId="181" fontId="0" fillId="0" borderId="0" xfId="1" applyNumberFormat="1" applyFont="1" applyFill="1" applyProtection="1" quotePrefix="1">
      <protection locked="0"/>
    </xf>
    <xf numFmtId="0" fontId="0" fillId="0" borderId="0" xfId="0" applyFill="1" applyProtection="1" quotePrefix="1">
      <protection locked="0"/>
    </xf>
    <xf numFmtId="0" fontId="3" fillId="0" borderId="0" xfId="0" applyFont="1" applyFill="1" applyBorder="1" applyAlignment="1" applyProtection="1" quotePrefix="1">
      <protection locked="0"/>
    </xf>
    <xf numFmtId="182" fontId="0" fillId="0" borderId="0" xfId="50" applyNumberFormat="1" applyFont="1" applyProtection="1" quotePrefix="1">
      <protection locked="0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3" xfId="50"/>
    <cellStyle name="Normal 3" xfId="51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2" Type="http://schemas.openxmlformats.org/officeDocument/2006/relationships/styles" Target="styles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view="pageBreakPreview" zoomScale="110" zoomScaleNormal="130" workbookViewId="0">
      <selection activeCell="C24" sqref="C24"/>
    </sheetView>
  </sheetViews>
  <sheetFormatPr defaultColWidth="8.77777777777778" defaultRowHeight="12.75" outlineLevelCol="7"/>
  <cols>
    <col min="1" max="1" width="5.44444444444444" style="68" customWidth="1"/>
    <col min="2" max="2" width="29.1111111111111" style="67" customWidth="1"/>
    <col min="3" max="3" width="15.6666666666667" style="67" customWidth="1"/>
    <col min="4" max="4" width="20.3333333333333" style="67" customWidth="1"/>
    <col min="5" max="6" width="15.4444444444444" style="69" customWidth="1"/>
    <col min="7" max="7" width="21.4444444444444" style="70"/>
    <col min="8" max="8" width="21.8888888888889" style="67"/>
    <col min="9" max="16384" width="8.77777777777778" style="67"/>
  </cols>
  <sheetData>
    <row r="1" spans="1:1">
      <c r="A1" s="68" t="s">
        <v>0</v>
      </c>
    </row>
    <row r="2" spans="1:1">
      <c r="A2" s="71" t="s">
        <v>1</v>
      </c>
    </row>
    <row r="3" spans="1:2">
      <c r="A3" s="71" t="s">
        <v>2</v>
      </c>
      <c r="B3" s="72">
        <v>45996</v>
      </c>
    </row>
    <row r="5" ht="13.2" customHeight="1" spans="1:8">
      <c r="A5" s="73" t="s">
        <v>3</v>
      </c>
      <c r="B5" s="74" t="s">
        <v>4</v>
      </c>
      <c r="C5" s="75" t="s">
        <v>5</v>
      </c>
      <c r="D5" s="75" t="s">
        <v>6</v>
      </c>
      <c r="E5" s="76" t="s">
        <v>7</v>
      </c>
      <c r="F5" s="76" t="s">
        <v>8</v>
      </c>
      <c r="G5" s="77" t="s">
        <v>9</v>
      </c>
      <c r="H5" s="78" t="s">
        <v>10</v>
      </c>
    </row>
    <row r="6" s="67" customFormat="1" spans="1:8">
      <c r="A6" s="68">
        <v>1</v>
      </c>
      <c r="B6" s="79" t="s">
        <v>11</v>
      </c>
      <c r="C6" s="67" t="s">
        <v>12</v>
      </c>
      <c r="D6" s="67" t="s">
        <v>13</v>
      </c>
      <c r="E6" s="69">
        <f>'Summary-Serene LLP'!D23</f>
        <v>-393541</v>
      </c>
      <c r="F6" s="69">
        <v>42243</v>
      </c>
      <c r="G6" s="87" t="s">
        <v>14</v>
      </c>
      <c r="H6" s="69"/>
    </row>
    <row r="7" s="67" customFormat="1" spans="1:8">
      <c r="A7" s="68">
        <v>2</v>
      </c>
      <c r="B7" s="79" t="s">
        <v>15</v>
      </c>
      <c r="C7" s="67" t="s">
        <v>16</v>
      </c>
      <c r="D7" s="88" t="s">
        <v>17</v>
      </c>
      <c r="E7" s="69">
        <f>'Summary-NQB'!D21</f>
        <v>-83098</v>
      </c>
      <c r="F7" s="69">
        <v>741</v>
      </c>
      <c r="G7" s="87" t="s">
        <v>14</v>
      </c>
      <c r="H7" s="69"/>
    </row>
    <row r="8" s="67" customFormat="1" spans="1:8">
      <c r="A8" s="68">
        <v>3</v>
      </c>
      <c r="B8" s="79" t="s">
        <v>15</v>
      </c>
      <c r="C8" s="67" t="s">
        <v>18</v>
      </c>
      <c r="D8" s="81">
        <v>9614168250</v>
      </c>
      <c r="E8" s="69">
        <v>6188</v>
      </c>
      <c r="F8" s="69">
        <v>6188</v>
      </c>
      <c r="G8" s="87" t="s">
        <v>14</v>
      </c>
      <c r="H8" s="69"/>
    </row>
    <row r="9" s="67" customFormat="1" spans="1:8">
      <c r="A9" s="68">
        <v>4</v>
      </c>
      <c r="B9" s="82" t="s">
        <v>19</v>
      </c>
      <c r="C9" s="82" t="s">
        <v>20</v>
      </c>
      <c r="D9" s="89" t="s">
        <v>21</v>
      </c>
      <c r="E9" s="83">
        <f>'Summary-Miriyalaguda LLP'!D20</f>
        <v>-590656</v>
      </c>
      <c r="F9" s="83">
        <v>1514</v>
      </c>
      <c r="G9" s="87" t="s">
        <v>14</v>
      </c>
      <c r="H9" s="84"/>
    </row>
    <row r="10" s="67" customFormat="1" spans="1:8">
      <c r="A10" s="68">
        <v>5</v>
      </c>
      <c r="B10" s="82" t="s">
        <v>19</v>
      </c>
      <c r="C10" s="82" t="s">
        <v>22</v>
      </c>
      <c r="D10" s="89" t="s">
        <v>23</v>
      </c>
      <c r="E10" s="83">
        <v>25000</v>
      </c>
      <c r="F10" s="83">
        <v>25000</v>
      </c>
      <c r="G10" s="87" t="s">
        <v>14</v>
      </c>
      <c r="H10" s="85"/>
    </row>
    <row r="12" spans="1:1">
      <c r="A12" s="68" t="s">
        <v>24</v>
      </c>
    </row>
    <row r="14" ht="13.2" customHeight="1" spans="1:8">
      <c r="A14" s="73" t="s">
        <v>3</v>
      </c>
      <c r="B14" s="74" t="s">
        <v>4</v>
      </c>
      <c r="C14" s="75" t="s">
        <v>5</v>
      </c>
      <c r="D14" s="75" t="s">
        <v>6</v>
      </c>
      <c r="E14" s="86" t="s">
        <v>25</v>
      </c>
      <c r="F14" s="76" t="s">
        <v>26</v>
      </c>
      <c r="G14" s="77" t="s">
        <v>27</v>
      </c>
      <c r="H14" s="78" t="s">
        <v>28</v>
      </c>
    </row>
  </sheetData>
  <sheetProtection selectLockedCells="1"/>
  <printOptions gridLines="1"/>
  <pageMargins left="0.708661417322835" right="0.708661417322835" top="0.748031496062992" bottom="0.748031496062992" header="0.31496062992126" footer="0.31496062992126"/>
  <pageSetup paperSize="9" scale="74" orientation="landscape" horizontalDpi="300" verticalDpi="300"/>
  <headerFooter>
    <oddHeader>&amp;C&amp;F 
&amp;A</oddHead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view="pageBreakPreview" zoomScaleNormal="100" topLeftCell="A25" workbookViewId="0">
      <selection activeCell="H46" sqref="H46"/>
    </sheetView>
  </sheetViews>
  <sheetFormatPr defaultColWidth="8.77777777777778" defaultRowHeight="12.75"/>
  <cols>
    <col min="1" max="1" width="5.33333333333333" style="1" customWidth="1"/>
    <col min="2" max="2" width="39.7777777777778" customWidth="1"/>
    <col min="3" max="4" width="12.7777777777778" style="17" customWidth="1"/>
    <col min="5" max="5" width="34.8888888888889" customWidth="1"/>
    <col min="6" max="6" width="10" customWidth="1"/>
  </cols>
  <sheetData>
    <row r="1" customFormat="1" spans="1:4">
      <c r="A1" s="1" t="s">
        <v>0</v>
      </c>
      <c r="C1" s="17"/>
      <c r="D1" s="17"/>
    </row>
    <row r="2" customFormat="1" spans="1:4">
      <c r="A2" s="1" t="s">
        <v>29</v>
      </c>
      <c r="B2" s="2"/>
      <c r="C2" s="17" t="s">
        <v>30</v>
      </c>
      <c r="D2" s="19" t="s">
        <v>31</v>
      </c>
    </row>
    <row r="3" customFormat="1" spans="1:8">
      <c r="A3" s="1" t="s">
        <v>32</v>
      </c>
      <c r="B3" s="2"/>
      <c r="C3" s="17" t="s">
        <v>2</v>
      </c>
      <c r="D3" s="55">
        <f>('Summary-MRGLLP'!D3)</f>
        <v>45989</v>
      </c>
      <c r="G3" s="21"/>
      <c r="H3" s="22"/>
    </row>
    <row r="4" s="16" customFormat="1" spans="1:5">
      <c r="A4" s="23" t="s">
        <v>3</v>
      </c>
      <c r="B4" s="8" t="s">
        <v>33</v>
      </c>
      <c r="C4" s="24" t="s">
        <v>34</v>
      </c>
      <c r="D4" s="24" t="s">
        <v>35</v>
      </c>
      <c r="E4" s="14" t="s">
        <v>36</v>
      </c>
    </row>
    <row r="5" customFormat="1" spans="1:5">
      <c r="A5" s="25">
        <v>1</v>
      </c>
      <c r="B5" t="s">
        <v>37</v>
      </c>
      <c r="D5" s="26"/>
      <c r="E5" s="26"/>
    </row>
    <row r="6" customFormat="1" spans="1:5">
      <c r="A6" s="25">
        <v>2</v>
      </c>
      <c r="B6" t="s">
        <v>38</v>
      </c>
      <c r="D6" s="26"/>
      <c r="E6" s="26"/>
    </row>
    <row r="7" customFormat="1" spans="1:5">
      <c r="A7" s="25">
        <v>3</v>
      </c>
      <c r="B7" t="s">
        <v>39</v>
      </c>
      <c r="D7" s="26"/>
      <c r="E7" s="26"/>
    </row>
    <row r="8" customFormat="1" spans="1:5">
      <c r="A8" s="25">
        <v>4</v>
      </c>
      <c r="B8" t="s">
        <v>40</v>
      </c>
      <c r="D8" s="26"/>
      <c r="E8" s="26"/>
    </row>
    <row r="9" customFormat="1" spans="1:5">
      <c r="A9" s="25">
        <v>5</v>
      </c>
      <c r="B9" t="s">
        <v>41</v>
      </c>
      <c r="D9" s="26"/>
      <c r="E9" s="26"/>
    </row>
    <row r="10" customFormat="1" ht="34.05" customHeight="1" spans="1:5">
      <c r="A10" s="25">
        <v>6</v>
      </c>
      <c r="B10" t="s">
        <v>42</v>
      </c>
      <c r="D10" s="53">
        <f>2360+1180</f>
        <v>3540</v>
      </c>
      <c r="E10" s="54" t="s">
        <v>43</v>
      </c>
    </row>
    <row r="11" customFormat="1" spans="1:5">
      <c r="A11" s="25">
        <v>7</v>
      </c>
      <c r="B11" t="s">
        <v>42</v>
      </c>
      <c r="D11" s="26"/>
      <c r="E11" s="26"/>
    </row>
    <row r="12" customFormat="1" spans="1:5">
      <c r="A12" s="25">
        <v>8</v>
      </c>
      <c r="B12" s="32" t="s">
        <v>44</v>
      </c>
      <c r="C12" s="32"/>
      <c r="D12" s="33">
        <f>SUM(D5:D11)</f>
        <v>3540</v>
      </c>
      <c r="E12" s="33"/>
    </row>
    <row r="13" ht="51" spans="1:6">
      <c r="A13" s="25">
        <v>9</v>
      </c>
      <c r="B13" s="7" t="s">
        <v>45</v>
      </c>
      <c r="C13" s="34" t="s">
        <v>46</v>
      </c>
      <c r="D13" s="34" t="s">
        <v>47</v>
      </c>
      <c r="E13" s="34" t="s">
        <v>48</v>
      </c>
      <c r="F13" s="16"/>
    </row>
    <row r="14" customFormat="1" spans="1:5">
      <c r="A14" s="25">
        <v>10</v>
      </c>
      <c r="B14" t="s">
        <v>49</v>
      </c>
      <c r="C14" s="19"/>
      <c r="D14" s="19">
        <v>0</v>
      </c>
      <c r="E14" s="2"/>
    </row>
    <row r="15" customFormat="1" spans="1:5">
      <c r="A15" s="25">
        <v>11</v>
      </c>
      <c r="B15" t="s">
        <v>50</v>
      </c>
      <c r="C15" s="17"/>
      <c r="D15" s="19">
        <v>1197</v>
      </c>
      <c r="E15" s="2"/>
    </row>
    <row r="16" customFormat="1" spans="1:6">
      <c r="A16" s="25">
        <v>12</v>
      </c>
      <c r="B16" t="s">
        <v>51</v>
      </c>
      <c r="C16" s="17"/>
      <c r="D16" s="19">
        <f>D15-D14-D12</f>
        <v>-2343</v>
      </c>
      <c r="E16" s="35"/>
      <c r="F16" s="35"/>
    </row>
    <row r="17" customFormat="1" spans="1:5">
      <c r="A17" s="25">
        <v>13</v>
      </c>
      <c r="B17" t="s">
        <v>52</v>
      </c>
      <c r="C17" s="17"/>
      <c r="D17" s="19"/>
      <c r="E17" s="35"/>
    </row>
    <row r="18" customFormat="1" spans="1:5">
      <c r="A18" s="25">
        <v>14</v>
      </c>
      <c r="B18" t="s">
        <v>53</v>
      </c>
      <c r="C18" s="17"/>
      <c r="D18" s="17">
        <f>SUM(D16:D17)</f>
        <v>-2343</v>
      </c>
      <c r="E18" s="35"/>
    </row>
    <row r="19" customFormat="1" spans="1:5">
      <c r="A19" s="25">
        <v>15</v>
      </c>
      <c r="B19" s="32" t="s">
        <v>54</v>
      </c>
      <c r="C19" s="36"/>
      <c r="D19" s="36"/>
      <c r="E19" s="36"/>
    </row>
    <row r="20" customFormat="1" spans="1:5">
      <c r="A20" s="25">
        <v>16</v>
      </c>
      <c r="B20" t="s">
        <v>55</v>
      </c>
      <c r="C20" s="17"/>
      <c r="D20" s="17"/>
      <c r="E20" s="35"/>
    </row>
    <row r="21" customFormat="1" spans="1:4">
      <c r="A21" s="25">
        <v>17</v>
      </c>
      <c r="B21" t="s">
        <v>56</v>
      </c>
      <c r="C21" s="17"/>
      <c r="D21" s="17"/>
    </row>
    <row r="22" customFormat="1" spans="1:5">
      <c r="A22" s="25">
        <v>18</v>
      </c>
      <c r="B22" t="s">
        <v>57</v>
      </c>
      <c r="C22" s="17"/>
      <c r="D22" s="17"/>
      <c r="E22" s="35"/>
    </row>
    <row r="23" customFormat="1" spans="1:5">
      <c r="A23" s="25">
        <v>19</v>
      </c>
      <c r="B23" t="s">
        <v>57</v>
      </c>
      <c r="C23" s="17"/>
      <c r="D23" s="17"/>
      <c r="E23" s="35"/>
    </row>
    <row r="24" customFormat="1" spans="1:5">
      <c r="A24" s="25">
        <v>20</v>
      </c>
      <c r="B24" t="s">
        <v>57</v>
      </c>
      <c r="C24" s="17"/>
      <c r="D24" s="17"/>
      <c r="E24" s="35"/>
    </row>
    <row r="25" customFormat="1" spans="1:5">
      <c r="A25" s="25">
        <v>21</v>
      </c>
      <c r="B25" t="s">
        <v>57</v>
      </c>
      <c r="C25" s="17"/>
      <c r="D25" s="17"/>
      <c r="E25" s="35"/>
    </row>
    <row r="26" customFormat="1" spans="1:4">
      <c r="A26" s="25">
        <v>22</v>
      </c>
      <c r="B26" t="s">
        <v>58</v>
      </c>
      <c r="C26" s="17"/>
      <c r="D26" s="17"/>
    </row>
    <row r="27" customFormat="1" spans="1:4">
      <c r="A27" s="25">
        <v>23</v>
      </c>
      <c r="B27" t="s">
        <v>59</v>
      </c>
      <c r="C27" s="17"/>
      <c r="D27" s="17"/>
    </row>
    <row r="28" customFormat="1" spans="1:4">
      <c r="A28" s="25">
        <v>24</v>
      </c>
      <c r="B28" t="s">
        <v>60</v>
      </c>
      <c r="C28" s="17"/>
      <c r="D28" s="17">
        <f>SUM(D20:D25)-D26-D27</f>
        <v>0</v>
      </c>
    </row>
    <row r="29" customFormat="1" spans="1:5">
      <c r="A29" s="25">
        <v>25</v>
      </c>
      <c r="B29" s="32" t="s">
        <v>61</v>
      </c>
      <c r="C29" s="36"/>
      <c r="D29" s="36"/>
      <c r="E29" s="36"/>
    </row>
    <row r="30" customFormat="1" spans="1:4">
      <c r="A30" s="25">
        <v>26</v>
      </c>
      <c r="B30" t="s">
        <v>62</v>
      </c>
      <c r="C30" s="37"/>
      <c r="D30" s="38">
        <v>0</v>
      </c>
    </row>
    <row r="31" customFormat="1" spans="1:5">
      <c r="A31" s="25">
        <v>27</v>
      </c>
      <c r="B31" t="s">
        <v>63</v>
      </c>
      <c r="C31" s="19"/>
      <c r="D31" s="17">
        <v>0</v>
      </c>
      <c r="E31" s="35"/>
    </row>
    <row r="32" customFormat="1" spans="1:5">
      <c r="A32" s="25">
        <v>28</v>
      </c>
      <c r="B32" s="8" t="s">
        <v>45</v>
      </c>
      <c r="C32" s="32"/>
      <c r="D32" s="39" t="s">
        <v>35</v>
      </c>
      <c r="E32" s="8" t="s">
        <v>48</v>
      </c>
    </row>
    <row r="33" customFormat="1" spans="1:4">
      <c r="A33" s="25">
        <v>29</v>
      </c>
      <c r="B33" t="s">
        <v>64</v>
      </c>
      <c r="D33" s="26"/>
    </row>
    <row r="34" customFormat="1" spans="1:4">
      <c r="A34" s="25">
        <v>30</v>
      </c>
      <c r="B34" t="s">
        <v>65</v>
      </c>
      <c r="D34" s="26"/>
    </row>
    <row r="35" customFormat="1" spans="1:4">
      <c r="A35" s="25">
        <v>31</v>
      </c>
      <c r="B35" t="s">
        <v>66</v>
      </c>
      <c r="D35" s="26"/>
    </row>
    <row r="36" customFormat="1" spans="1:5">
      <c r="A36" s="25">
        <v>32</v>
      </c>
      <c r="B36" s="32" t="s">
        <v>67</v>
      </c>
      <c r="C36" s="32"/>
      <c r="D36" s="33">
        <f>SUM(D33:D35)</f>
        <v>0</v>
      </c>
      <c r="E36" s="32"/>
    </row>
    <row r="37" customFormat="1" spans="1:4">
      <c r="A37" s="25">
        <v>33</v>
      </c>
      <c r="B37" t="s">
        <v>68</v>
      </c>
      <c r="D37" s="26"/>
    </row>
    <row r="38" customFormat="1" spans="1:4">
      <c r="A38" s="25">
        <v>34</v>
      </c>
      <c r="B38" t="s">
        <v>69</v>
      </c>
      <c r="D38" s="26"/>
    </row>
    <row r="39" customFormat="1" spans="1:5">
      <c r="A39" s="25">
        <v>35</v>
      </c>
      <c r="B39" s="32" t="s">
        <v>70</v>
      </c>
      <c r="C39" s="32"/>
      <c r="D39" s="33">
        <f>SUM(D37:D38)</f>
        <v>0</v>
      </c>
      <c r="E39" s="32"/>
    </row>
    <row r="40" customFormat="1" spans="1:5">
      <c r="A40" s="25">
        <v>36</v>
      </c>
      <c r="B40" s="32" t="s">
        <v>71</v>
      </c>
      <c r="C40" s="32"/>
      <c r="D40" s="33">
        <f>D36-D39</f>
        <v>0</v>
      </c>
      <c r="E40" s="32"/>
    </row>
    <row r="41" spans="1:9">
      <c r="A41" s="25">
        <v>37</v>
      </c>
      <c r="B41" t="s">
        <v>72</v>
      </c>
      <c r="C41"/>
      <c r="D41"/>
      <c r="E41" s="17"/>
      <c r="F41" s="38"/>
      <c r="G41" s="38"/>
      <c r="H41" s="38"/>
      <c r="I41" s="38"/>
    </row>
    <row r="42" customFormat="1" spans="1:9">
      <c r="A42" s="25">
        <v>38</v>
      </c>
      <c r="B42" s="7" t="s">
        <v>73</v>
      </c>
      <c r="C42" s="34" t="s">
        <v>74</v>
      </c>
      <c r="D42" s="34" t="s">
        <v>75</v>
      </c>
      <c r="E42" s="32" t="s">
        <v>76</v>
      </c>
      <c r="G42" s="40"/>
      <c r="H42" s="40"/>
      <c r="I42" s="40"/>
    </row>
    <row r="43" spans="1:9">
      <c r="A43" s="25">
        <v>39</v>
      </c>
      <c r="B43" s="48"/>
      <c r="C43" s="49"/>
      <c r="D43" s="2"/>
      <c r="E43" s="19"/>
      <c r="F43" s="37"/>
      <c r="G43" s="44"/>
      <c r="H43" s="37"/>
      <c r="I43" s="37"/>
    </row>
    <row r="44" spans="1:9">
      <c r="A44" s="25">
        <v>40</v>
      </c>
      <c r="B44" s="48"/>
      <c r="C44" s="49"/>
      <c r="D44" s="2"/>
      <c r="E44" s="19"/>
      <c r="F44" s="37"/>
      <c r="G44" s="44"/>
      <c r="H44" s="37"/>
      <c r="I44" s="37"/>
    </row>
    <row r="45" spans="1:9">
      <c r="A45" s="25">
        <v>41</v>
      </c>
      <c r="B45" s="48"/>
      <c r="C45" s="49"/>
      <c r="D45" s="2"/>
      <c r="E45" s="19"/>
      <c r="F45" s="37"/>
      <c r="G45" s="44"/>
      <c r="H45" s="37"/>
      <c r="I45" s="37"/>
    </row>
    <row r="46" spans="1:9">
      <c r="A46" s="25">
        <v>42</v>
      </c>
      <c r="B46" s="48"/>
      <c r="C46" s="49"/>
      <c r="D46" s="2"/>
      <c r="E46" s="19"/>
      <c r="F46" s="37"/>
      <c r="G46" s="44"/>
      <c r="H46" s="37"/>
      <c r="I46" s="37"/>
    </row>
    <row r="47" spans="1:9">
      <c r="A47" s="25">
        <v>43</v>
      </c>
      <c r="B47" s="48"/>
      <c r="C47" s="49"/>
      <c r="D47" s="2"/>
      <c r="E47" s="19"/>
      <c r="F47" s="37"/>
      <c r="G47" s="44"/>
      <c r="H47" s="37"/>
      <c r="I47" s="37"/>
    </row>
    <row r="48" spans="1:9">
      <c r="A48" s="25">
        <v>44</v>
      </c>
      <c r="B48" s="48"/>
      <c r="C48" s="49"/>
      <c r="D48" s="2"/>
      <c r="E48" s="19"/>
      <c r="F48" s="37"/>
      <c r="G48" s="37"/>
      <c r="H48" s="37"/>
      <c r="I48" s="37"/>
    </row>
    <row r="49" spans="1:9">
      <c r="A49" s="25">
        <v>45</v>
      </c>
      <c r="B49" s="32" t="s">
        <v>77</v>
      </c>
      <c r="C49" s="50"/>
      <c r="D49" s="50"/>
      <c r="E49" s="52">
        <f>SUM(E43:E48)</f>
        <v>0</v>
      </c>
      <c r="F49" s="37"/>
      <c r="G49" s="37"/>
      <c r="H49" s="37"/>
      <c r="I49" s="37"/>
    </row>
  </sheetData>
  <printOptions gridLines="1"/>
  <pageMargins left="0.75" right="0.75" top="1" bottom="1" header="0.5" footer="0.5"/>
  <pageSetup paperSize="9" scale="83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view="pageBreakPreview" zoomScaleNormal="100" topLeftCell="A31" workbookViewId="0">
      <selection activeCell="A5" sqref="A5:A49"/>
    </sheetView>
  </sheetViews>
  <sheetFormatPr defaultColWidth="8.77777777777778" defaultRowHeight="12.75"/>
  <cols>
    <col min="1" max="1" width="5.33333333333333" style="1" customWidth="1"/>
    <col min="2" max="2" width="39.7777777777778" customWidth="1"/>
    <col min="3" max="4" width="12.7777777777778" style="17" customWidth="1"/>
    <col min="5" max="5" width="34.8888888888889" customWidth="1"/>
    <col min="6" max="6" width="10" customWidth="1"/>
  </cols>
  <sheetData>
    <row r="1" customFormat="1" spans="1:4">
      <c r="A1" s="1" t="s">
        <v>0</v>
      </c>
      <c r="C1" s="17"/>
      <c r="D1" s="17"/>
    </row>
    <row r="2" customFormat="1" spans="1:4">
      <c r="A2" s="1" t="s">
        <v>78</v>
      </c>
      <c r="B2" s="2"/>
      <c r="C2" s="17" t="s">
        <v>30</v>
      </c>
      <c r="D2" s="19" t="s">
        <v>31</v>
      </c>
    </row>
    <row r="3" customFormat="1" spans="1:8">
      <c r="A3" s="1" t="s">
        <v>32</v>
      </c>
      <c r="B3" s="2"/>
      <c r="C3" s="17" t="s">
        <v>2</v>
      </c>
      <c r="D3" s="55">
        <v>45989</v>
      </c>
      <c r="G3" s="21"/>
      <c r="H3" s="22"/>
    </row>
    <row r="4" s="16" customFormat="1" spans="1:5">
      <c r="A4" s="23" t="s">
        <v>3</v>
      </c>
      <c r="B4" s="8" t="s">
        <v>33</v>
      </c>
      <c r="C4" s="24" t="s">
        <v>34</v>
      </c>
      <c r="D4" s="24" t="s">
        <v>35</v>
      </c>
      <c r="E4" s="14" t="s">
        <v>36</v>
      </c>
    </row>
    <row r="5" customFormat="1" spans="1:5">
      <c r="A5" s="25">
        <v>1</v>
      </c>
      <c r="B5" t="s">
        <v>37</v>
      </c>
      <c r="D5" s="26"/>
      <c r="E5" s="26"/>
    </row>
    <row r="6" customFormat="1" spans="1:5">
      <c r="A6" s="25">
        <v>2</v>
      </c>
      <c r="B6" t="s">
        <v>38</v>
      </c>
      <c r="D6" s="26"/>
      <c r="E6" s="26"/>
    </row>
    <row r="7" customFormat="1" spans="1:5">
      <c r="A7" s="25">
        <v>3</v>
      </c>
      <c r="B7" t="s">
        <v>39</v>
      </c>
      <c r="D7" s="26"/>
      <c r="E7" s="26"/>
    </row>
    <row r="8" customFormat="1" spans="1:5">
      <c r="A8" s="25">
        <v>4</v>
      </c>
      <c r="B8" t="s">
        <v>40</v>
      </c>
      <c r="D8" s="26"/>
      <c r="E8" s="26"/>
    </row>
    <row r="9" customFormat="1" spans="1:5">
      <c r="A9" s="25">
        <v>5</v>
      </c>
      <c r="B9" t="s">
        <v>41</v>
      </c>
      <c r="D9" s="26"/>
      <c r="E9" s="26"/>
    </row>
    <row r="10" customFormat="1" ht="34.05" customHeight="1" spans="1:5">
      <c r="A10" s="25">
        <v>6</v>
      </c>
      <c r="B10" t="s">
        <v>42</v>
      </c>
      <c r="D10" s="53">
        <f>1770+1180</f>
        <v>2950</v>
      </c>
      <c r="E10" s="54" t="s">
        <v>79</v>
      </c>
    </row>
    <row r="11" customFormat="1" spans="1:5">
      <c r="A11" s="25">
        <v>7</v>
      </c>
      <c r="B11" t="s">
        <v>42</v>
      </c>
      <c r="D11" s="26">
        <v>4455</v>
      </c>
      <c r="E11" s="26" t="s">
        <v>80</v>
      </c>
    </row>
    <row r="12" customFormat="1" spans="1:5">
      <c r="A12" s="25">
        <v>8</v>
      </c>
      <c r="B12" s="32" t="s">
        <v>44</v>
      </c>
      <c r="C12" s="32"/>
      <c r="D12" s="33">
        <f>SUM(D5:D11)</f>
        <v>7405</v>
      </c>
      <c r="E12" s="33"/>
    </row>
    <row r="13" ht="51" spans="1:6">
      <c r="A13" s="25">
        <v>9</v>
      </c>
      <c r="B13" s="7" t="s">
        <v>45</v>
      </c>
      <c r="C13" s="34" t="s">
        <v>46</v>
      </c>
      <c r="D13" s="34" t="s">
        <v>47</v>
      </c>
      <c r="E13" s="34" t="s">
        <v>48</v>
      </c>
      <c r="F13" s="16"/>
    </row>
    <row r="14" customFormat="1" spans="1:5">
      <c r="A14" s="25">
        <v>10</v>
      </c>
      <c r="B14" t="s">
        <v>49</v>
      </c>
      <c r="C14" s="19"/>
      <c r="D14" s="19">
        <v>0</v>
      </c>
      <c r="E14" s="2"/>
    </row>
    <row r="15" customFormat="1" spans="1:5">
      <c r="A15" s="25">
        <v>11</v>
      </c>
      <c r="B15" t="s">
        <v>50</v>
      </c>
      <c r="C15" s="17"/>
      <c r="D15" s="19">
        <v>3008</v>
      </c>
      <c r="E15" s="2"/>
    </row>
    <row r="16" customFormat="1" spans="1:6">
      <c r="A16" s="25">
        <v>12</v>
      </c>
      <c r="B16" t="s">
        <v>51</v>
      </c>
      <c r="C16" s="17"/>
      <c r="D16" s="19">
        <f>D15-D14-D12</f>
        <v>-4397</v>
      </c>
      <c r="E16" s="35"/>
      <c r="F16" s="35"/>
    </row>
    <row r="17" customFormat="1" spans="1:5">
      <c r="A17" s="25">
        <v>13</v>
      </c>
      <c r="B17" t="s">
        <v>52</v>
      </c>
      <c r="C17" s="17"/>
      <c r="D17" s="19"/>
      <c r="E17" s="35"/>
    </row>
    <row r="18" customFormat="1" spans="1:5">
      <c r="A18" s="25">
        <v>14</v>
      </c>
      <c r="B18" t="s">
        <v>53</v>
      </c>
      <c r="C18" s="17"/>
      <c r="D18" s="17">
        <f>SUM(D16:D17)</f>
        <v>-4397</v>
      </c>
      <c r="E18" s="35"/>
    </row>
    <row r="19" customFormat="1" spans="1:5">
      <c r="A19" s="25">
        <v>15</v>
      </c>
      <c r="B19" s="32" t="s">
        <v>54</v>
      </c>
      <c r="C19" s="36"/>
      <c r="D19" s="36"/>
      <c r="E19" s="36"/>
    </row>
    <row r="20" customFormat="1" spans="1:5">
      <c r="A20" s="25">
        <v>16</v>
      </c>
      <c r="B20" t="s">
        <v>55</v>
      </c>
      <c r="C20" s="17"/>
      <c r="D20" s="17"/>
      <c r="E20" s="35"/>
    </row>
    <row r="21" customFormat="1" spans="1:4">
      <c r="A21" s="25">
        <v>17</v>
      </c>
      <c r="B21" t="s">
        <v>56</v>
      </c>
      <c r="C21" s="17"/>
      <c r="D21" s="17"/>
    </row>
    <row r="22" customFormat="1" spans="1:5">
      <c r="A22" s="25">
        <v>18</v>
      </c>
      <c r="B22" t="s">
        <v>57</v>
      </c>
      <c r="C22" s="17"/>
      <c r="D22" s="17"/>
      <c r="E22" s="35"/>
    </row>
    <row r="23" customFormat="1" spans="1:5">
      <c r="A23" s="25">
        <v>19</v>
      </c>
      <c r="B23" t="s">
        <v>57</v>
      </c>
      <c r="C23" s="17"/>
      <c r="D23" s="17"/>
      <c r="E23" s="35"/>
    </row>
    <row r="24" customFormat="1" spans="1:5">
      <c r="A24" s="25">
        <v>20</v>
      </c>
      <c r="B24" t="s">
        <v>57</v>
      </c>
      <c r="C24" s="17"/>
      <c r="D24" s="17"/>
      <c r="E24" s="35"/>
    </row>
    <row r="25" customFormat="1" spans="1:5">
      <c r="A25" s="25">
        <v>21</v>
      </c>
      <c r="B25" t="s">
        <v>57</v>
      </c>
      <c r="C25" s="17"/>
      <c r="D25" s="17"/>
      <c r="E25" s="35"/>
    </row>
    <row r="26" customFormat="1" spans="1:4">
      <c r="A26" s="25">
        <v>22</v>
      </c>
      <c r="B26" t="s">
        <v>58</v>
      </c>
      <c r="C26" s="17"/>
      <c r="D26" s="17"/>
    </row>
    <row r="27" customFormat="1" spans="1:4">
      <c r="A27" s="25">
        <v>23</v>
      </c>
      <c r="B27" t="s">
        <v>59</v>
      </c>
      <c r="C27" s="17"/>
      <c r="D27" s="17"/>
    </row>
    <row r="28" customFormat="1" spans="1:4">
      <c r="A28" s="25">
        <v>24</v>
      </c>
      <c r="B28" t="s">
        <v>60</v>
      </c>
      <c r="C28" s="17"/>
      <c r="D28" s="17">
        <f>SUM(D20:D25)-D26-D27</f>
        <v>0</v>
      </c>
    </row>
    <row r="29" customFormat="1" spans="1:5">
      <c r="A29" s="25">
        <v>25</v>
      </c>
      <c r="B29" s="32" t="s">
        <v>61</v>
      </c>
      <c r="C29" s="36"/>
      <c r="D29" s="36"/>
      <c r="E29" s="36"/>
    </row>
    <row r="30" customFormat="1" spans="1:4">
      <c r="A30" s="25">
        <v>26</v>
      </c>
      <c r="B30" t="s">
        <v>62</v>
      </c>
      <c r="C30" s="37"/>
      <c r="D30" s="38">
        <v>0</v>
      </c>
    </row>
    <row r="31" customFormat="1" spans="1:5">
      <c r="A31" s="25">
        <v>27</v>
      </c>
      <c r="B31" t="s">
        <v>63</v>
      </c>
      <c r="C31" s="19"/>
      <c r="D31" s="17">
        <v>0</v>
      </c>
      <c r="E31" s="35"/>
    </row>
    <row r="32" customFormat="1" spans="1:5">
      <c r="A32" s="25">
        <v>28</v>
      </c>
      <c r="B32" s="8" t="s">
        <v>45</v>
      </c>
      <c r="C32" s="32"/>
      <c r="D32" s="39" t="s">
        <v>35</v>
      </c>
      <c r="E32" s="8" t="s">
        <v>48</v>
      </c>
    </row>
    <row r="33" customFormat="1" spans="1:4">
      <c r="A33" s="25">
        <v>29</v>
      </c>
      <c r="B33" t="s">
        <v>64</v>
      </c>
      <c r="D33" s="26"/>
    </row>
    <row r="34" customFormat="1" spans="1:4">
      <c r="A34" s="25">
        <v>30</v>
      </c>
      <c r="B34" t="s">
        <v>65</v>
      </c>
      <c r="D34" s="26"/>
    </row>
    <row r="35" customFormat="1" spans="1:4">
      <c r="A35" s="25">
        <v>31</v>
      </c>
      <c r="B35" t="s">
        <v>66</v>
      </c>
      <c r="D35" s="26"/>
    </row>
    <row r="36" customFormat="1" spans="1:5">
      <c r="A36" s="25">
        <v>32</v>
      </c>
      <c r="B36" s="32" t="s">
        <v>67</v>
      </c>
      <c r="C36" s="32"/>
      <c r="D36" s="33">
        <f>SUM(D33:D35)</f>
        <v>0</v>
      </c>
      <c r="E36" s="32"/>
    </row>
    <row r="37" customFormat="1" spans="1:4">
      <c r="A37" s="25">
        <v>33</v>
      </c>
      <c r="B37" t="s">
        <v>68</v>
      </c>
      <c r="D37" s="26"/>
    </row>
    <row r="38" customFormat="1" spans="1:4">
      <c r="A38" s="25">
        <v>34</v>
      </c>
      <c r="B38" t="s">
        <v>69</v>
      </c>
      <c r="D38" s="26"/>
    </row>
    <row r="39" customFormat="1" spans="1:5">
      <c r="A39" s="25">
        <v>35</v>
      </c>
      <c r="B39" s="32" t="s">
        <v>70</v>
      </c>
      <c r="C39" s="32"/>
      <c r="D39" s="33">
        <f>SUM(D37:D38)</f>
        <v>0</v>
      </c>
      <c r="E39" s="32"/>
    </row>
    <row r="40" customFormat="1" spans="1:5">
      <c r="A40" s="25">
        <v>36</v>
      </c>
      <c r="B40" s="32" t="s">
        <v>71</v>
      </c>
      <c r="C40" s="32"/>
      <c r="D40" s="33">
        <f>D36-D39</f>
        <v>0</v>
      </c>
      <c r="E40" s="32"/>
    </row>
    <row r="41" spans="1:9">
      <c r="A41" s="25">
        <v>37</v>
      </c>
      <c r="B41" t="s">
        <v>72</v>
      </c>
      <c r="C41"/>
      <c r="D41"/>
      <c r="E41" s="17"/>
      <c r="F41" s="38"/>
      <c r="G41" s="38"/>
      <c r="H41" s="38"/>
      <c r="I41" s="38"/>
    </row>
    <row r="42" customFormat="1" spans="1:9">
      <c r="A42" s="25">
        <v>38</v>
      </c>
      <c r="B42" s="7" t="s">
        <v>73</v>
      </c>
      <c r="C42" s="34" t="s">
        <v>74</v>
      </c>
      <c r="D42" s="34" t="s">
        <v>75</v>
      </c>
      <c r="E42" s="32" t="s">
        <v>76</v>
      </c>
      <c r="G42" s="40"/>
      <c r="H42" s="40"/>
      <c r="I42" s="40"/>
    </row>
    <row r="43" spans="1:9">
      <c r="A43" s="25">
        <v>39</v>
      </c>
      <c r="B43" s="48"/>
      <c r="C43" s="49"/>
      <c r="D43" s="2"/>
      <c r="E43" s="19"/>
      <c r="F43" s="37"/>
      <c r="G43" s="44"/>
      <c r="H43" s="37"/>
      <c r="I43" s="37"/>
    </row>
    <row r="44" spans="1:9">
      <c r="A44" s="25">
        <v>40</v>
      </c>
      <c r="B44" s="48"/>
      <c r="C44" s="49"/>
      <c r="D44" s="2"/>
      <c r="E44" s="19"/>
      <c r="F44" s="37"/>
      <c r="G44" s="44"/>
      <c r="H44" s="37"/>
      <c r="I44" s="37"/>
    </row>
    <row r="45" spans="1:9">
      <c r="A45" s="25">
        <v>41</v>
      </c>
      <c r="B45" s="48"/>
      <c r="C45" s="49"/>
      <c r="D45" s="2"/>
      <c r="E45" s="19"/>
      <c r="F45" s="37"/>
      <c r="G45" s="44"/>
      <c r="H45" s="37"/>
      <c r="I45" s="37"/>
    </row>
    <row r="46" spans="1:9">
      <c r="A46" s="25">
        <v>42</v>
      </c>
      <c r="B46" s="48"/>
      <c r="C46" s="49"/>
      <c r="D46" s="2"/>
      <c r="E46" s="19"/>
      <c r="F46" s="37"/>
      <c r="G46" s="44"/>
      <c r="H46" s="37"/>
      <c r="I46" s="37"/>
    </row>
    <row r="47" spans="1:9">
      <c r="A47" s="25">
        <v>43</v>
      </c>
      <c r="B47" s="48"/>
      <c r="C47" s="49"/>
      <c r="D47" s="2"/>
      <c r="E47" s="19"/>
      <c r="F47" s="37"/>
      <c r="G47" s="44"/>
      <c r="H47" s="37"/>
      <c r="I47" s="37"/>
    </row>
    <row r="48" spans="1:9">
      <c r="A48" s="25">
        <v>44</v>
      </c>
      <c r="B48" s="48"/>
      <c r="C48" s="49"/>
      <c r="D48" s="2"/>
      <c r="E48" s="19"/>
      <c r="F48" s="37"/>
      <c r="G48" s="37"/>
      <c r="H48" s="37"/>
      <c r="I48" s="37"/>
    </row>
    <row r="49" spans="1:9">
      <c r="A49" s="25">
        <v>45</v>
      </c>
      <c r="B49" s="32" t="s">
        <v>77</v>
      </c>
      <c r="C49" s="50"/>
      <c r="D49" s="50"/>
      <c r="E49" s="52">
        <f>SUM(E43:E48)</f>
        <v>0</v>
      </c>
      <c r="F49" s="37"/>
      <c r="G49" s="37"/>
      <c r="H49" s="37"/>
      <c r="I49" s="37"/>
    </row>
  </sheetData>
  <printOptions gridLines="1"/>
  <pageMargins left="0.75" right="0.75" top="1" bottom="1" header="0.5" footer="0.5"/>
  <pageSetup paperSize="9" scale="9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view="pageBreakPreview" zoomScaleNormal="100" topLeftCell="A29" workbookViewId="0">
      <selection activeCell="L45" sqref="L45"/>
    </sheetView>
  </sheetViews>
  <sheetFormatPr defaultColWidth="8.77777777777778" defaultRowHeight="12.75"/>
  <cols>
    <col min="1" max="1" width="5.33333333333333" style="1" customWidth="1"/>
    <col min="2" max="2" width="39.7777777777778" customWidth="1"/>
    <col min="3" max="4" width="12.7777777777778" style="17" customWidth="1"/>
    <col min="5" max="5" width="45" customWidth="1"/>
    <col min="6" max="6" width="10" customWidth="1"/>
  </cols>
  <sheetData>
    <row r="1" spans="1:1">
      <c r="A1" s="1" t="s">
        <v>0</v>
      </c>
    </row>
    <row r="2" spans="1:4">
      <c r="A2" s="1" t="s">
        <v>81</v>
      </c>
      <c r="B2" s="2"/>
      <c r="C2" s="17" t="s">
        <v>30</v>
      </c>
      <c r="D2" s="19" t="s">
        <v>31</v>
      </c>
    </row>
    <row r="3" spans="1:8">
      <c r="A3" s="1" t="s">
        <v>32</v>
      </c>
      <c r="B3" s="2"/>
      <c r="C3" s="17" t="s">
        <v>2</v>
      </c>
      <c r="D3" s="55">
        <v>45989</v>
      </c>
      <c r="G3" s="21"/>
      <c r="H3" s="22"/>
    </row>
    <row r="4" s="16" customFormat="1" spans="1:5">
      <c r="A4" s="23" t="s">
        <v>3</v>
      </c>
      <c r="B4" s="8" t="s">
        <v>33</v>
      </c>
      <c r="C4" s="24" t="s">
        <v>34</v>
      </c>
      <c r="D4" s="24" t="s">
        <v>35</v>
      </c>
      <c r="E4" s="14" t="s">
        <v>36</v>
      </c>
    </row>
    <row r="5" spans="1:5">
      <c r="A5" s="25">
        <v>1</v>
      </c>
      <c r="B5" t="s">
        <v>37</v>
      </c>
      <c r="C5"/>
      <c r="D5" s="26"/>
      <c r="E5" s="26"/>
    </row>
    <row r="6" spans="1:5">
      <c r="A6" s="25">
        <v>2</v>
      </c>
      <c r="B6" t="s">
        <v>38</v>
      </c>
      <c r="C6"/>
      <c r="D6" s="26"/>
      <c r="E6" s="26"/>
    </row>
    <row r="7" spans="1:5">
      <c r="A7" s="25">
        <v>3</v>
      </c>
      <c r="B7" t="s">
        <v>39</v>
      </c>
      <c r="C7"/>
      <c r="D7" s="26"/>
      <c r="E7" s="26"/>
    </row>
    <row r="8" spans="1:5">
      <c r="A8" s="25">
        <v>4</v>
      </c>
      <c r="B8" t="s">
        <v>40</v>
      </c>
      <c r="C8"/>
      <c r="D8" s="26"/>
      <c r="E8" s="26"/>
    </row>
    <row r="9" spans="1:5">
      <c r="A9" s="25">
        <v>5</v>
      </c>
      <c r="B9" t="s">
        <v>41</v>
      </c>
      <c r="C9"/>
      <c r="D9" s="26">
        <v>4455</v>
      </c>
      <c r="E9" s="26" t="s">
        <v>80</v>
      </c>
    </row>
    <row r="10" ht="34.05" customHeight="1" spans="1:5">
      <c r="A10" s="25">
        <v>6</v>
      </c>
      <c r="B10" t="s">
        <v>42</v>
      </c>
      <c r="C10"/>
      <c r="D10" s="53">
        <f>1770+1180</f>
        <v>2950</v>
      </c>
      <c r="E10" s="54" t="s">
        <v>82</v>
      </c>
    </row>
    <row r="11" spans="1:5">
      <c r="A11" s="25">
        <v>7</v>
      </c>
      <c r="B11" t="s">
        <v>42</v>
      </c>
      <c r="C11"/>
      <c r="D11" s="26"/>
      <c r="E11" s="26"/>
    </row>
    <row r="12" spans="1:5">
      <c r="A12" s="25">
        <v>8</v>
      </c>
      <c r="B12" s="32" t="s">
        <v>44</v>
      </c>
      <c r="C12" s="32"/>
      <c r="D12" s="33">
        <f>SUM(D5:D11)</f>
        <v>7405</v>
      </c>
      <c r="E12" s="33"/>
    </row>
    <row r="13" ht="51" spans="1:6">
      <c r="A13" s="25">
        <v>9</v>
      </c>
      <c r="B13" s="7" t="s">
        <v>45</v>
      </c>
      <c r="C13" s="34" t="s">
        <v>46</v>
      </c>
      <c r="D13" s="34" t="s">
        <v>47</v>
      </c>
      <c r="E13" s="34" t="s">
        <v>48</v>
      </c>
      <c r="F13" s="16"/>
    </row>
    <row r="14" spans="1:5">
      <c r="A14" s="25">
        <v>10</v>
      </c>
      <c r="B14" t="s">
        <v>49</v>
      </c>
      <c r="C14" s="19"/>
      <c r="D14" s="19">
        <v>0</v>
      </c>
      <c r="E14" s="2"/>
    </row>
    <row r="15" spans="1:5">
      <c r="A15" s="25">
        <v>11</v>
      </c>
      <c r="B15" t="s">
        <v>50</v>
      </c>
      <c r="D15" s="19">
        <v>3625</v>
      </c>
      <c r="E15" s="2"/>
    </row>
    <row r="16" spans="1:6">
      <c r="A16" s="25">
        <v>12</v>
      </c>
      <c r="B16" t="s">
        <v>51</v>
      </c>
      <c r="D16" s="19">
        <f>D15-D14-D12</f>
        <v>-3780</v>
      </c>
      <c r="E16" s="35"/>
      <c r="F16" s="35"/>
    </row>
    <row r="17" spans="1:5">
      <c r="A17" s="25">
        <v>13</v>
      </c>
      <c r="B17" t="s">
        <v>52</v>
      </c>
      <c r="D17" s="19"/>
      <c r="E17" s="35"/>
    </row>
    <row r="18" spans="1:5">
      <c r="A18" s="25">
        <v>14</v>
      </c>
      <c r="B18" t="s">
        <v>53</v>
      </c>
      <c r="D18" s="17">
        <f>SUM(D16:D17)</f>
        <v>-3780</v>
      </c>
      <c r="E18" s="35"/>
    </row>
    <row r="19" spans="1:5">
      <c r="A19" s="25">
        <v>15</v>
      </c>
      <c r="B19" s="32" t="s">
        <v>54</v>
      </c>
      <c r="C19" s="36"/>
      <c r="D19" s="36"/>
      <c r="E19" s="36"/>
    </row>
    <row r="20" spans="1:5">
      <c r="A20" s="25">
        <v>16</v>
      </c>
      <c r="B20" t="s">
        <v>55</v>
      </c>
      <c r="E20" s="35"/>
    </row>
    <row r="21" spans="1:2">
      <c r="A21" s="25">
        <v>17</v>
      </c>
      <c r="B21" t="s">
        <v>56</v>
      </c>
    </row>
    <row r="22" spans="1:5">
      <c r="A22" s="25">
        <v>18</v>
      </c>
      <c r="B22" t="s">
        <v>57</v>
      </c>
      <c r="E22" s="35"/>
    </row>
    <row r="23" spans="1:5">
      <c r="A23" s="25">
        <v>19</v>
      </c>
      <c r="B23" t="s">
        <v>57</v>
      </c>
      <c r="E23" s="35"/>
    </row>
    <row r="24" spans="1:5">
      <c r="A24" s="25">
        <v>20</v>
      </c>
      <c r="B24" t="s">
        <v>57</v>
      </c>
      <c r="E24" s="35"/>
    </row>
    <row r="25" spans="1:5">
      <c r="A25" s="25">
        <v>21</v>
      </c>
      <c r="B25" t="s">
        <v>57</v>
      </c>
      <c r="E25" s="35"/>
    </row>
    <row r="26" spans="1:2">
      <c r="A26" s="25">
        <v>22</v>
      </c>
      <c r="B26" t="s">
        <v>58</v>
      </c>
    </row>
    <row r="27" spans="1:2">
      <c r="A27" s="25">
        <v>23</v>
      </c>
      <c r="B27" t="s">
        <v>59</v>
      </c>
    </row>
    <row r="28" spans="1:4">
      <c r="A28" s="25">
        <v>24</v>
      </c>
      <c r="B28" t="s">
        <v>60</v>
      </c>
      <c r="D28" s="17">
        <f>SUM(D20:D25)-D26-D27</f>
        <v>0</v>
      </c>
    </row>
    <row r="29" spans="1:5">
      <c r="A29" s="25">
        <v>25</v>
      </c>
      <c r="B29" s="32" t="s">
        <v>61</v>
      </c>
      <c r="C29" s="36"/>
      <c r="D29" s="36"/>
      <c r="E29" s="36"/>
    </row>
    <row r="30" spans="1:4">
      <c r="A30" s="25">
        <v>26</v>
      </c>
      <c r="B30" t="s">
        <v>62</v>
      </c>
      <c r="C30" s="37"/>
      <c r="D30" s="38">
        <v>0</v>
      </c>
    </row>
    <row r="31" spans="1:5">
      <c r="A31" s="25">
        <v>27</v>
      </c>
      <c r="B31" t="s">
        <v>63</v>
      </c>
      <c r="C31" s="19"/>
      <c r="D31" s="17">
        <v>0</v>
      </c>
      <c r="E31" s="35"/>
    </row>
    <row r="32" spans="1:5">
      <c r="A32" s="25">
        <v>28</v>
      </c>
      <c r="B32" s="8" t="s">
        <v>45</v>
      </c>
      <c r="C32" s="32"/>
      <c r="D32" s="39" t="s">
        <v>35</v>
      </c>
      <c r="E32" s="8" t="s">
        <v>48</v>
      </c>
    </row>
    <row r="33" spans="1:4">
      <c r="A33" s="25">
        <v>29</v>
      </c>
      <c r="B33" t="s">
        <v>64</v>
      </c>
      <c r="C33"/>
      <c r="D33" s="26"/>
    </row>
    <row r="34" spans="1:4">
      <c r="A34" s="25">
        <v>30</v>
      </c>
      <c r="B34" t="s">
        <v>65</v>
      </c>
      <c r="C34"/>
      <c r="D34" s="26"/>
    </row>
    <row r="35" spans="1:4">
      <c r="A35" s="25">
        <v>31</v>
      </c>
      <c r="B35" t="s">
        <v>66</v>
      </c>
      <c r="C35"/>
      <c r="D35" s="26"/>
    </row>
    <row r="36" spans="1:5">
      <c r="A36" s="25">
        <v>32</v>
      </c>
      <c r="B36" s="32" t="s">
        <v>67</v>
      </c>
      <c r="C36" s="32"/>
      <c r="D36" s="33">
        <f>SUM(D33:D35)</f>
        <v>0</v>
      </c>
      <c r="E36" s="32"/>
    </row>
    <row r="37" spans="1:4">
      <c r="A37" s="25">
        <v>33</v>
      </c>
      <c r="B37" t="s">
        <v>68</v>
      </c>
      <c r="C37"/>
      <c r="D37" s="26"/>
    </row>
    <row r="38" spans="1:4">
      <c r="A38" s="25">
        <v>34</v>
      </c>
      <c r="B38" t="s">
        <v>69</v>
      </c>
      <c r="C38"/>
      <c r="D38" s="26"/>
    </row>
    <row r="39" spans="1:5">
      <c r="A39" s="25">
        <v>35</v>
      </c>
      <c r="B39" s="32" t="s">
        <v>70</v>
      </c>
      <c r="C39" s="32"/>
      <c r="D39" s="33">
        <f>SUM(D37:D38)</f>
        <v>0</v>
      </c>
      <c r="E39" s="32"/>
    </row>
    <row r="40" spans="1:5">
      <c r="A40" s="25">
        <v>36</v>
      </c>
      <c r="B40" s="32" t="s">
        <v>71</v>
      </c>
      <c r="C40" s="32"/>
      <c r="D40" s="33">
        <f>D36-D39</f>
        <v>0</v>
      </c>
      <c r="E40" s="32"/>
    </row>
    <row r="41" spans="1:9">
      <c r="A41" s="25">
        <v>37</v>
      </c>
      <c r="B41" t="s">
        <v>72</v>
      </c>
      <c r="C41"/>
      <c r="D41"/>
      <c r="E41" s="17"/>
      <c r="F41" s="38"/>
      <c r="G41" s="38"/>
      <c r="H41" s="38"/>
      <c r="I41" s="38"/>
    </row>
    <row r="42" spans="1:9">
      <c r="A42" s="25">
        <v>38</v>
      </c>
      <c r="B42" s="7" t="s">
        <v>73</v>
      </c>
      <c r="C42" s="34" t="s">
        <v>74</v>
      </c>
      <c r="D42" s="34" t="s">
        <v>75</v>
      </c>
      <c r="E42" s="32" t="s">
        <v>76</v>
      </c>
      <c r="G42" s="40"/>
      <c r="H42" s="40"/>
      <c r="I42" s="40"/>
    </row>
    <row r="43" spans="1:9">
      <c r="A43" s="25">
        <v>39</v>
      </c>
      <c r="B43" s="48"/>
      <c r="C43" s="49"/>
      <c r="D43" s="2"/>
      <c r="E43" s="19"/>
      <c r="F43" s="37"/>
      <c r="G43" s="44"/>
      <c r="H43" s="37"/>
      <c r="I43" s="37"/>
    </row>
    <row r="44" spans="1:9">
      <c r="A44" s="25">
        <v>40</v>
      </c>
      <c r="B44" s="48"/>
      <c r="C44" s="49"/>
      <c r="D44" s="2"/>
      <c r="E44" s="19"/>
      <c r="F44" s="37"/>
      <c r="G44" s="44"/>
      <c r="H44" s="37"/>
      <c r="I44" s="37"/>
    </row>
    <row r="45" spans="1:9">
      <c r="A45" s="25">
        <v>41</v>
      </c>
      <c r="B45" s="48"/>
      <c r="C45" s="49"/>
      <c r="D45" s="2"/>
      <c r="E45" s="19"/>
      <c r="F45" s="37"/>
      <c r="G45" s="44"/>
      <c r="H45" s="37"/>
      <c r="I45" s="37"/>
    </row>
    <row r="46" spans="1:9">
      <c r="A46" s="25">
        <v>42</v>
      </c>
      <c r="B46" s="48"/>
      <c r="C46" s="49"/>
      <c r="D46" s="2"/>
      <c r="E46" s="19"/>
      <c r="F46" s="37"/>
      <c r="G46" s="44"/>
      <c r="H46" s="37"/>
      <c r="I46" s="37"/>
    </row>
    <row r="47" spans="1:9">
      <c r="A47" s="25">
        <v>43</v>
      </c>
      <c r="B47" s="48"/>
      <c r="C47" s="49"/>
      <c r="D47" s="2"/>
      <c r="E47" s="19"/>
      <c r="F47" s="37"/>
      <c r="G47" s="44"/>
      <c r="H47" s="37"/>
      <c r="I47" s="37"/>
    </row>
    <row r="48" spans="1:9">
      <c r="A48" s="25">
        <v>44</v>
      </c>
      <c r="B48" s="48"/>
      <c r="C48" s="49"/>
      <c r="D48" s="2"/>
      <c r="E48" s="19"/>
      <c r="F48" s="37"/>
      <c r="G48" s="37"/>
      <c r="H48" s="37"/>
      <c r="I48" s="37"/>
    </row>
    <row r="49" spans="1:9">
      <c r="A49" s="25">
        <v>45</v>
      </c>
      <c r="B49" s="32" t="s">
        <v>77</v>
      </c>
      <c r="C49" s="50"/>
      <c r="D49" s="50"/>
      <c r="E49" s="52">
        <f>SUM(E43:E48)</f>
        <v>0</v>
      </c>
      <c r="F49" s="37"/>
      <c r="G49" s="37"/>
      <c r="H49" s="37"/>
      <c r="I49" s="37"/>
    </row>
  </sheetData>
  <printOptions gridLines="1"/>
  <pageMargins left="0.708661417322835" right="0.708661417322835" top="0.748031496062992" bottom="0.748031496062992" header="0.31496062992126" footer="0.31496062992126"/>
  <pageSetup paperSize="9" scale="84" orientation="portrait" horizontalDpi="300" verticalDpi="300"/>
  <headerFooter>
    <oddHeader>&amp;C&amp;F 
&amp;A</oddHeader>
    <oddFooter>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"/>
  <sheetViews>
    <sheetView view="pageBreakPreview" zoomScaleNormal="100" topLeftCell="A24" workbookViewId="0">
      <selection activeCell="L50" sqref="L50"/>
    </sheetView>
  </sheetViews>
  <sheetFormatPr defaultColWidth="8.77777777777778" defaultRowHeight="12.75"/>
  <cols>
    <col min="1" max="1" width="5.33333333333333" style="1" customWidth="1"/>
    <col min="2" max="2" width="39.7777777777778" customWidth="1"/>
    <col min="3" max="4" width="12.7777777777778" style="17" customWidth="1"/>
    <col min="5" max="5" width="34.8888888888889" customWidth="1"/>
    <col min="6" max="6" width="10" customWidth="1"/>
  </cols>
  <sheetData>
    <row r="1" customFormat="1" spans="1:4">
      <c r="A1" s="1" t="s">
        <v>0</v>
      </c>
      <c r="C1" s="17"/>
      <c r="D1" s="17"/>
    </row>
    <row r="2" customFormat="1" spans="1:4">
      <c r="A2" s="1" t="s">
        <v>83</v>
      </c>
      <c r="B2" s="2"/>
      <c r="C2" s="17" t="s">
        <v>30</v>
      </c>
      <c r="D2" s="19" t="s">
        <v>84</v>
      </c>
    </row>
    <row r="3" customFormat="1" spans="1:8">
      <c r="A3" s="1" t="s">
        <v>32</v>
      </c>
      <c r="B3" s="2"/>
      <c r="C3" s="17" t="s">
        <v>2</v>
      </c>
      <c r="D3" s="55">
        <v>45989</v>
      </c>
      <c r="G3" s="21"/>
      <c r="H3" s="22"/>
    </row>
    <row r="4" s="16" customFormat="1" spans="1:5">
      <c r="A4" s="23" t="s">
        <v>3</v>
      </c>
      <c r="B4" s="8" t="s">
        <v>33</v>
      </c>
      <c r="C4" s="24" t="s">
        <v>34</v>
      </c>
      <c r="D4" s="24" t="s">
        <v>35</v>
      </c>
      <c r="E4" s="14" t="s">
        <v>36</v>
      </c>
    </row>
    <row r="5" customFormat="1" spans="1:5">
      <c r="A5" s="25">
        <v>1</v>
      </c>
      <c r="B5" t="s">
        <v>37</v>
      </c>
      <c r="D5" s="26"/>
      <c r="E5" s="26"/>
    </row>
    <row r="6" customFormat="1" spans="1:5">
      <c r="A6" s="25">
        <v>2</v>
      </c>
      <c r="B6" t="s">
        <v>38</v>
      </c>
      <c r="D6" s="26"/>
      <c r="E6" s="26"/>
    </row>
    <row r="7" customFormat="1" spans="1:5">
      <c r="A7" s="25">
        <v>3</v>
      </c>
      <c r="B7" t="s">
        <v>39</v>
      </c>
      <c r="D7" s="26"/>
      <c r="E7" s="26"/>
    </row>
    <row r="8" customFormat="1" spans="1:5">
      <c r="A8" s="25">
        <v>4</v>
      </c>
      <c r="B8" t="s">
        <v>40</v>
      </c>
      <c r="D8" s="26"/>
      <c r="E8" s="26"/>
    </row>
    <row r="9" customFormat="1" spans="1:5">
      <c r="A9" s="25">
        <v>5</v>
      </c>
      <c r="B9" t="s">
        <v>41</v>
      </c>
      <c r="D9" s="26"/>
      <c r="E9" s="26"/>
    </row>
    <row r="10" customFormat="1" ht="41" customHeight="1" spans="1:5">
      <c r="A10" s="25">
        <v>6</v>
      </c>
      <c r="B10" t="s">
        <v>42</v>
      </c>
      <c r="D10" s="53">
        <f>1180</f>
        <v>1180</v>
      </c>
      <c r="E10" s="54" t="s">
        <v>85</v>
      </c>
    </row>
    <row r="11" customFormat="1" spans="1:5">
      <c r="A11" s="25">
        <v>7</v>
      </c>
      <c r="B11" s="32" t="s">
        <v>44</v>
      </c>
      <c r="C11" s="32"/>
      <c r="D11" s="33">
        <f>SUM(D5:D10)</f>
        <v>1180</v>
      </c>
      <c r="E11" s="33"/>
    </row>
    <row r="12" ht="51" spans="1:6">
      <c r="A12" s="25">
        <v>8</v>
      </c>
      <c r="B12" s="7" t="s">
        <v>45</v>
      </c>
      <c r="C12" s="34" t="s">
        <v>46</v>
      </c>
      <c r="D12" s="34" t="s">
        <v>47</v>
      </c>
      <c r="E12" s="34" t="s">
        <v>48</v>
      </c>
      <c r="F12" s="16"/>
    </row>
    <row r="13" customFormat="1" spans="1:5">
      <c r="A13" s="25">
        <v>9</v>
      </c>
      <c r="B13" t="s">
        <v>49</v>
      </c>
      <c r="C13" s="19"/>
      <c r="D13" s="19">
        <v>0</v>
      </c>
      <c r="E13" s="2"/>
    </row>
    <row r="14" customFormat="1" spans="1:5">
      <c r="A14" s="25">
        <v>10</v>
      </c>
      <c r="B14" t="s">
        <v>50</v>
      </c>
      <c r="C14" s="17"/>
      <c r="D14" s="19">
        <v>4076</v>
      </c>
      <c r="E14" s="2"/>
    </row>
    <row r="15" customFormat="1" spans="1:6">
      <c r="A15" s="25">
        <v>11</v>
      </c>
      <c r="B15" t="s">
        <v>51</v>
      </c>
      <c r="C15" s="17"/>
      <c r="D15" s="19">
        <f>D14-D13-D11</f>
        <v>2896</v>
      </c>
      <c r="E15" s="35"/>
      <c r="F15" s="35"/>
    </row>
    <row r="16" customFormat="1" spans="1:5">
      <c r="A16" s="25">
        <v>12</v>
      </c>
      <c r="B16" t="s">
        <v>52</v>
      </c>
      <c r="C16" s="17"/>
      <c r="D16" s="19"/>
      <c r="E16" s="35"/>
    </row>
    <row r="17" customFormat="1" spans="1:5">
      <c r="A17" s="25">
        <v>13</v>
      </c>
      <c r="B17" t="s">
        <v>53</v>
      </c>
      <c r="C17" s="17"/>
      <c r="D17" s="17">
        <f>SUM(D15:D16)</f>
        <v>2896</v>
      </c>
      <c r="E17" s="35"/>
    </row>
    <row r="18" customFormat="1" spans="1:5">
      <c r="A18" s="25">
        <v>14</v>
      </c>
      <c r="B18" s="32" t="s">
        <v>54</v>
      </c>
      <c r="C18" s="36"/>
      <c r="D18" s="36"/>
      <c r="E18" s="36"/>
    </row>
    <row r="19" customFormat="1" spans="1:5">
      <c r="A19" s="25">
        <v>15</v>
      </c>
      <c r="B19" t="s">
        <v>55</v>
      </c>
      <c r="C19" s="17"/>
      <c r="D19" s="17"/>
      <c r="E19" s="35"/>
    </row>
    <row r="20" customFormat="1" spans="1:4">
      <c r="A20" s="25">
        <v>16</v>
      </c>
      <c r="B20" t="s">
        <v>56</v>
      </c>
      <c r="C20" s="17"/>
      <c r="D20" s="17"/>
    </row>
    <row r="21" customFormat="1" spans="1:5">
      <c r="A21" s="25">
        <v>17</v>
      </c>
      <c r="B21" t="s">
        <v>57</v>
      </c>
      <c r="C21" s="17"/>
      <c r="D21" s="17"/>
      <c r="E21" s="35"/>
    </row>
    <row r="22" customFormat="1" spans="1:5">
      <c r="A22" s="25">
        <v>18</v>
      </c>
      <c r="B22" t="s">
        <v>57</v>
      </c>
      <c r="C22" s="17"/>
      <c r="D22" s="17"/>
      <c r="E22" s="35"/>
    </row>
    <row r="23" customFormat="1" spans="1:5">
      <c r="A23" s="25">
        <v>19</v>
      </c>
      <c r="B23" t="s">
        <v>57</v>
      </c>
      <c r="C23" s="17"/>
      <c r="D23" s="17"/>
      <c r="E23" s="35"/>
    </row>
    <row r="24" customFormat="1" spans="1:5">
      <c r="A24" s="25">
        <v>20</v>
      </c>
      <c r="B24" t="s">
        <v>57</v>
      </c>
      <c r="C24" s="17"/>
      <c r="D24" s="17"/>
      <c r="E24" s="35"/>
    </row>
    <row r="25" customFormat="1" spans="1:4">
      <c r="A25" s="25">
        <v>21</v>
      </c>
      <c r="B25" t="s">
        <v>58</v>
      </c>
      <c r="C25" s="17"/>
      <c r="D25" s="17"/>
    </row>
    <row r="26" customFormat="1" spans="1:4">
      <c r="A26" s="25">
        <v>22</v>
      </c>
      <c r="B26" t="s">
        <v>59</v>
      </c>
      <c r="C26" s="17"/>
      <c r="D26" s="17"/>
    </row>
    <row r="27" customFormat="1" spans="1:4">
      <c r="A27" s="25">
        <v>23</v>
      </c>
      <c r="B27" t="s">
        <v>60</v>
      </c>
      <c r="C27" s="17"/>
      <c r="D27" s="17">
        <f>SUM(D19:D24)-D25-D26</f>
        <v>0</v>
      </c>
    </row>
    <row r="28" customFormat="1" spans="1:5">
      <c r="A28" s="25">
        <v>24</v>
      </c>
      <c r="B28" s="32" t="s">
        <v>61</v>
      </c>
      <c r="C28" s="36"/>
      <c r="D28" s="36"/>
      <c r="E28" s="36"/>
    </row>
    <row r="29" customFormat="1" spans="1:4">
      <c r="A29" s="25">
        <v>25</v>
      </c>
      <c r="B29" t="s">
        <v>62</v>
      </c>
      <c r="C29" s="37"/>
      <c r="D29" s="38">
        <v>0</v>
      </c>
    </row>
    <row r="30" customFormat="1" spans="1:5">
      <c r="A30" s="25">
        <v>26</v>
      </c>
      <c r="B30" t="s">
        <v>63</v>
      </c>
      <c r="C30" s="19"/>
      <c r="D30" s="17">
        <v>0</v>
      </c>
      <c r="E30" s="35"/>
    </row>
    <row r="31" customFormat="1" spans="1:5">
      <c r="A31" s="25">
        <v>27</v>
      </c>
      <c r="B31" s="8" t="s">
        <v>45</v>
      </c>
      <c r="C31" s="32"/>
      <c r="D31" s="39" t="s">
        <v>35</v>
      </c>
      <c r="E31" s="8" t="s">
        <v>48</v>
      </c>
    </row>
    <row r="32" customFormat="1" spans="1:4">
      <c r="A32" s="25">
        <v>28</v>
      </c>
      <c r="B32" t="s">
        <v>64</v>
      </c>
      <c r="D32" s="26"/>
    </row>
    <row r="33" customFormat="1" spans="1:4">
      <c r="A33" s="25">
        <v>29</v>
      </c>
      <c r="B33" t="s">
        <v>65</v>
      </c>
      <c r="D33" s="26"/>
    </row>
    <row r="34" customFormat="1" spans="1:4">
      <c r="A34" s="25">
        <v>30</v>
      </c>
      <c r="B34" t="s">
        <v>66</v>
      </c>
      <c r="D34" s="26"/>
    </row>
    <row r="35" customFormat="1" spans="1:5">
      <c r="A35" s="25">
        <v>31</v>
      </c>
      <c r="B35" s="32" t="s">
        <v>67</v>
      </c>
      <c r="C35" s="32"/>
      <c r="D35" s="33">
        <f>SUM(D32:D34)</f>
        <v>0</v>
      </c>
      <c r="E35" s="32"/>
    </row>
    <row r="36" customFormat="1" spans="1:4">
      <c r="A36" s="25">
        <v>32</v>
      </c>
      <c r="B36" t="s">
        <v>68</v>
      </c>
      <c r="D36" s="26"/>
    </row>
    <row r="37" customFormat="1" spans="1:4">
      <c r="A37" s="25">
        <v>33</v>
      </c>
      <c r="B37" t="s">
        <v>69</v>
      </c>
      <c r="D37" s="26"/>
    </row>
    <row r="38" customFormat="1" spans="1:5">
      <c r="A38" s="25">
        <v>34</v>
      </c>
      <c r="B38" s="32" t="s">
        <v>70</v>
      </c>
      <c r="C38" s="32"/>
      <c r="D38" s="33">
        <f>SUM(D36:D37)</f>
        <v>0</v>
      </c>
      <c r="E38" s="32"/>
    </row>
    <row r="39" customFormat="1" spans="1:5">
      <c r="A39" s="25">
        <v>35</v>
      </c>
      <c r="B39" s="32" t="s">
        <v>71</v>
      </c>
      <c r="C39" s="32"/>
      <c r="D39" s="33">
        <f>D35-D38</f>
        <v>0</v>
      </c>
      <c r="E39" s="32"/>
    </row>
    <row r="40" spans="1:9">
      <c r="A40" s="25">
        <v>36</v>
      </c>
      <c r="B40" t="s">
        <v>72</v>
      </c>
      <c r="C40"/>
      <c r="D40"/>
      <c r="E40" s="17"/>
      <c r="F40" s="38"/>
      <c r="G40" s="38"/>
      <c r="H40" s="38"/>
      <c r="I40" s="38"/>
    </row>
    <row r="41" customFormat="1" spans="1:9">
      <c r="A41" s="25">
        <v>37</v>
      </c>
      <c r="B41" s="7" t="s">
        <v>73</v>
      </c>
      <c r="C41" s="34" t="s">
        <v>74</v>
      </c>
      <c r="D41" s="34" t="s">
        <v>75</v>
      </c>
      <c r="E41" s="32" t="s">
        <v>76</v>
      </c>
      <c r="G41" s="40"/>
      <c r="H41" s="40"/>
      <c r="I41" s="40"/>
    </row>
    <row r="42" spans="1:9">
      <c r="A42" s="25">
        <v>38</v>
      </c>
      <c r="B42" s="48"/>
      <c r="C42" s="49"/>
      <c r="D42" s="2"/>
      <c r="E42" s="19"/>
      <c r="F42" s="37"/>
      <c r="G42" s="44"/>
      <c r="H42" s="37"/>
      <c r="I42" s="37"/>
    </row>
    <row r="43" spans="1:9">
      <c r="A43" s="25">
        <v>39</v>
      </c>
      <c r="B43" s="48"/>
      <c r="C43" s="49"/>
      <c r="D43" s="2"/>
      <c r="E43" s="19"/>
      <c r="F43" s="37"/>
      <c r="G43" s="44"/>
      <c r="H43" s="37"/>
      <c r="I43" s="37"/>
    </row>
    <row r="44" spans="1:9">
      <c r="A44" s="25">
        <v>40</v>
      </c>
      <c r="B44" s="48"/>
      <c r="C44" s="49"/>
      <c r="D44" s="2"/>
      <c r="E44" s="19"/>
      <c r="F44" s="37"/>
      <c r="G44" s="44"/>
      <c r="H44" s="37"/>
      <c r="I44" s="37"/>
    </row>
    <row r="45" spans="1:9">
      <c r="A45" s="25">
        <v>41</v>
      </c>
      <c r="B45" s="48"/>
      <c r="C45" s="49"/>
      <c r="D45" s="2"/>
      <c r="E45" s="19"/>
      <c r="F45" s="37"/>
      <c r="G45" s="44"/>
      <c r="H45" s="37"/>
      <c r="I45" s="37"/>
    </row>
    <row r="46" spans="1:9">
      <c r="A46" s="25">
        <v>42</v>
      </c>
      <c r="B46" s="48"/>
      <c r="C46" s="49"/>
      <c r="D46" s="2"/>
      <c r="E46" s="19"/>
      <c r="F46" s="37"/>
      <c r="G46" s="44"/>
      <c r="H46" s="37"/>
      <c r="I46" s="37"/>
    </row>
    <row r="47" spans="1:9">
      <c r="A47" s="25">
        <v>43</v>
      </c>
      <c r="B47" s="48"/>
      <c r="C47" s="49"/>
      <c r="D47" s="2"/>
      <c r="E47" s="19"/>
      <c r="F47" s="37"/>
      <c r="G47" s="37"/>
      <c r="H47" s="37"/>
      <c r="I47" s="37"/>
    </row>
    <row r="48" spans="1:9">
      <c r="A48" s="25">
        <v>44</v>
      </c>
      <c r="B48" s="32" t="s">
        <v>77</v>
      </c>
      <c r="C48" s="50"/>
      <c r="D48" s="50"/>
      <c r="E48" s="52">
        <f>SUM(E42:E47)</f>
        <v>0</v>
      </c>
      <c r="F48" s="37"/>
      <c r="G48" s="37"/>
      <c r="H48" s="37"/>
      <c r="I48" s="37"/>
    </row>
  </sheetData>
  <printOptions gridLines="1"/>
  <pageMargins left="0.75" right="0.75" top="1" bottom="1" header="0.5" footer="0.5"/>
  <pageSetup paperSize="9" scale="9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view="pageBreakPreview" zoomScaleNormal="100" topLeftCell="A29" workbookViewId="0">
      <selection activeCell="E42" sqref="E42"/>
    </sheetView>
  </sheetViews>
  <sheetFormatPr defaultColWidth="8.77777777777778" defaultRowHeight="12.75"/>
  <cols>
    <col min="1" max="1" width="5.33333333333333" style="1" customWidth="1"/>
    <col min="2" max="2" width="39.7777777777778" customWidth="1"/>
    <col min="3" max="4" width="12.7777777777778" style="17" customWidth="1"/>
    <col min="5" max="5" width="41.1666666666667" customWidth="1"/>
    <col min="6" max="6" width="10" customWidth="1"/>
  </cols>
  <sheetData>
    <row r="1" customFormat="1" spans="1:4">
      <c r="A1" s="1" t="s">
        <v>0</v>
      </c>
      <c r="C1" s="17"/>
      <c r="D1" s="17"/>
    </row>
    <row r="2" customFormat="1" spans="1:4">
      <c r="A2" s="1" t="s">
        <v>86</v>
      </c>
      <c r="B2" s="2"/>
      <c r="C2" s="17" t="s">
        <v>30</v>
      </c>
      <c r="D2" s="19" t="s">
        <v>31</v>
      </c>
    </row>
    <row r="3" customFormat="1" spans="1:8">
      <c r="A3" s="1" t="s">
        <v>32</v>
      </c>
      <c r="B3" s="2"/>
      <c r="C3" s="17" t="s">
        <v>2</v>
      </c>
      <c r="D3" s="55">
        <v>45989</v>
      </c>
      <c r="G3" s="21"/>
      <c r="H3" s="22"/>
    </row>
    <row r="4" s="16" customFormat="1" spans="1:5">
      <c r="A4" s="23" t="s">
        <v>3</v>
      </c>
      <c r="B4" s="8" t="s">
        <v>33</v>
      </c>
      <c r="C4" s="24" t="s">
        <v>34</v>
      </c>
      <c r="D4" s="24" t="s">
        <v>35</v>
      </c>
      <c r="E4" s="14" t="s">
        <v>36</v>
      </c>
    </row>
    <row r="5" customFormat="1" spans="1:5">
      <c r="A5" s="25">
        <v>1</v>
      </c>
      <c r="B5" t="s">
        <v>37</v>
      </c>
      <c r="D5" s="26"/>
      <c r="E5" s="26"/>
    </row>
    <row r="6" customFormat="1" spans="1:5">
      <c r="A6" s="25">
        <v>2</v>
      </c>
      <c r="B6" t="s">
        <v>38</v>
      </c>
      <c r="D6" s="26"/>
      <c r="E6" s="26"/>
    </row>
    <row r="7" customFormat="1" spans="1:5">
      <c r="A7" s="25">
        <v>3</v>
      </c>
      <c r="B7" t="s">
        <v>39</v>
      </c>
      <c r="D7" s="26"/>
      <c r="E7" s="26"/>
    </row>
    <row r="8" customFormat="1" spans="1:5">
      <c r="A8" s="25">
        <v>4</v>
      </c>
      <c r="B8" t="s">
        <v>40</v>
      </c>
      <c r="D8" s="26"/>
      <c r="E8" s="26"/>
    </row>
    <row r="9" customFormat="1" spans="1:5">
      <c r="A9" s="25">
        <v>5</v>
      </c>
      <c r="B9" t="s">
        <v>41</v>
      </c>
      <c r="D9" s="26">
        <v>4455</v>
      </c>
      <c r="E9" s="26" t="s">
        <v>87</v>
      </c>
    </row>
    <row r="10" customFormat="1" ht="34.05" customHeight="1" spans="1:5">
      <c r="A10" s="25">
        <v>6</v>
      </c>
      <c r="B10" t="s">
        <v>42</v>
      </c>
      <c r="D10" s="26">
        <f>1770+1180</f>
        <v>2950</v>
      </c>
      <c r="E10" s="56" t="s">
        <v>82</v>
      </c>
    </row>
    <row r="11" customFormat="1" spans="1:5">
      <c r="A11" s="25">
        <v>7</v>
      </c>
      <c r="B11" t="s">
        <v>42</v>
      </c>
      <c r="D11" s="26"/>
      <c r="E11" s="26"/>
    </row>
    <row r="12" customFormat="1" spans="1:5">
      <c r="A12" s="25">
        <v>8</v>
      </c>
      <c r="B12" s="32" t="s">
        <v>44</v>
      </c>
      <c r="C12" s="32"/>
      <c r="D12" s="33">
        <f>SUM(D5:D11)</f>
        <v>7405</v>
      </c>
      <c r="E12" s="33"/>
    </row>
    <row r="13" ht="51" spans="1:6">
      <c r="A13" s="25">
        <v>9</v>
      </c>
      <c r="B13" s="7" t="s">
        <v>45</v>
      </c>
      <c r="C13" s="34" t="s">
        <v>46</v>
      </c>
      <c r="D13" s="34" t="s">
        <v>47</v>
      </c>
      <c r="E13" s="34" t="s">
        <v>48</v>
      </c>
      <c r="F13" s="16"/>
    </row>
    <row r="14" customFormat="1" spans="1:5">
      <c r="A14" s="25">
        <v>10</v>
      </c>
      <c r="B14" t="s">
        <v>49</v>
      </c>
      <c r="C14" s="19"/>
      <c r="D14" s="19">
        <v>0</v>
      </c>
      <c r="E14" s="2"/>
    </row>
    <row r="15" customFormat="1" spans="1:5">
      <c r="A15" s="25">
        <v>11</v>
      </c>
      <c r="B15" t="s">
        <v>50</v>
      </c>
      <c r="C15" s="17"/>
      <c r="D15" s="19">
        <v>9718</v>
      </c>
      <c r="E15" s="2"/>
    </row>
    <row r="16" customFormat="1" spans="1:6">
      <c r="A16" s="25">
        <v>12</v>
      </c>
      <c r="B16" t="s">
        <v>51</v>
      </c>
      <c r="C16" s="17"/>
      <c r="D16" s="19">
        <f>D15-D14-D12</f>
        <v>2313</v>
      </c>
      <c r="E16" s="35"/>
      <c r="F16" s="35"/>
    </row>
    <row r="17" customFormat="1" spans="1:5">
      <c r="A17" s="25">
        <v>13</v>
      </c>
      <c r="B17" t="s">
        <v>52</v>
      </c>
      <c r="C17" s="17"/>
      <c r="D17" s="19"/>
      <c r="E17" s="35"/>
    </row>
    <row r="18" customFormat="1" spans="1:5">
      <c r="A18" s="25">
        <v>14</v>
      </c>
      <c r="B18" t="s">
        <v>53</v>
      </c>
      <c r="C18" s="17"/>
      <c r="D18" s="17">
        <f>SUM(D16:D17)</f>
        <v>2313</v>
      </c>
      <c r="E18" s="35"/>
    </row>
    <row r="19" customFormat="1" spans="1:5">
      <c r="A19" s="25">
        <v>15</v>
      </c>
      <c r="B19" s="32" t="s">
        <v>54</v>
      </c>
      <c r="C19" s="36"/>
      <c r="D19" s="36"/>
      <c r="E19" s="36"/>
    </row>
    <row r="20" customFormat="1" spans="1:5">
      <c r="A20" s="25">
        <v>16</v>
      </c>
      <c r="B20" t="s">
        <v>55</v>
      </c>
      <c r="C20" s="17"/>
      <c r="D20" s="17"/>
      <c r="E20" s="35"/>
    </row>
    <row r="21" customFormat="1" spans="1:4">
      <c r="A21" s="25">
        <v>17</v>
      </c>
      <c r="B21" t="s">
        <v>56</v>
      </c>
      <c r="C21" s="17"/>
      <c r="D21" s="17"/>
    </row>
    <row r="22" customFormat="1" spans="1:5">
      <c r="A22" s="25">
        <v>18</v>
      </c>
      <c r="B22" t="s">
        <v>57</v>
      </c>
      <c r="C22" s="17"/>
      <c r="D22" s="17"/>
      <c r="E22" s="35"/>
    </row>
    <row r="23" customFormat="1" spans="1:5">
      <c r="A23" s="25">
        <v>19</v>
      </c>
      <c r="B23" t="s">
        <v>57</v>
      </c>
      <c r="C23" s="17"/>
      <c r="D23" s="17"/>
      <c r="E23" s="35"/>
    </row>
    <row r="24" customFormat="1" spans="1:5">
      <c r="A24" s="25">
        <v>20</v>
      </c>
      <c r="B24" t="s">
        <v>57</v>
      </c>
      <c r="C24" s="17"/>
      <c r="D24" s="17"/>
      <c r="E24" s="35"/>
    </row>
    <row r="25" customFormat="1" spans="1:5">
      <c r="A25" s="25">
        <v>21</v>
      </c>
      <c r="B25" t="s">
        <v>57</v>
      </c>
      <c r="C25" s="17"/>
      <c r="D25" s="17"/>
      <c r="E25" s="35"/>
    </row>
    <row r="26" customFormat="1" spans="1:4">
      <c r="A26" s="25">
        <v>22</v>
      </c>
      <c r="B26" t="s">
        <v>58</v>
      </c>
      <c r="C26" s="17"/>
      <c r="D26" s="17"/>
    </row>
    <row r="27" customFormat="1" spans="1:4">
      <c r="A27" s="25">
        <v>23</v>
      </c>
      <c r="B27" t="s">
        <v>59</v>
      </c>
      <c r="C27" s="17"/>
      <c r="D27" s="17"/>
    </row>
    <row r="28" customFormat="1" spans="1:4">
      <c r="A28" s="25">
        <v>24</v>
      </c>
      <c r="B28" t="s">
        <v>60</v>
      </c>
      <c r="C28" s="17"/>
      <c r="D28" s="17">
        <f>SUM(D20:D25)-D26-D27</f>
        <v>0</v>
      </c>
    </row>
    <row r="29" customFormat="1" spans="1:5">
      <c r="A29" s="25">
        <v>25</v>
      </c>
      <c r="B29" s="32" t="s">
        <v>61</v>
      </c>
      <c r="C29" s="36"/>
      <c r="D29" s="36"/>
      <c r="E29" s="36"/>
    </row>
    <row r="30" customFormat="1" spans="1:4">
      <c r="A30" s="25">
        <v>26</v>
      </c>
      <c r="B30" t="s">
        <v>62</v>
      </c>
      <c r="C30" s="37"/>
      <c r="D30" s="38">
        <v>0</v>
      </c>
    </row>
    <row r="31" customFormat="1" spans="1:5">
      <c r="A31" s="25">
        <v>27</v>
      </c>
      <c r="B31" t="s">
        <v>63</v>
      </c>
      <c r="C31" s="19"/>
      <c r="D31" s="17">
        <v>0</v>
      </c>
      <c r="E31" s="35"/>
    </row>
    <row r="32" customFormat="1" spans="1:5">
      <c r="A32" s="25">
        <v>28</v>
      </c>
      <c r="B32" s="8" t="s">
        <v>45</v>
      </c>
      <c r="C32" s="32"/>
      <c r="D32" s="39" t="s">
        <v>35</v>
      </c>
      <c r="E32" s="8" t="s">
        <v>48</v>
      </c>
    </row>
    <row r="33" customFormat="1" spans="1:4">
      <c r="A33" s="25">
        <v>29</v>
      </c>
      <c r="B33" t="s">
        <v>64</v>
      </c>
      <c r="D33" s="26"/>
    </row>
    <row r="34" customFormat="1" spans="1:4">
      <c r="A34" s="25">
        <v>30</v>
      </c>
      <c r="B34" t="s">
        <v>65</v>
      </c>
      <c r="D34" s="26"/>
    </row>
    <row r="35" customFormat="1" spans="1:4">
      <c r="A35" s="25">
        <v>31</v>
      </c>
      <c r="B35" t="s">
        <v>66</v>
      </c>
      <c r="D35" s="26"/>
    </row>
    <row r="36" customFormat="1" spans="1:5">
      <c r="A36" s="25">
        <v>32</v>
      </c>
      <c r="B36" s="32" t="s">
        <v>67</v>
      </c>
      <c r="C36" s="32"/>
      <c r="D36" s="33">
        <f>SUM(D33:D35)</f>
        <v>0</v>
      </c>
      <c r="E36" s="32"/>
    </row>
    <row r="37" customFormat="1" spans="1:4">
      <c r="A37" s="25">
        <v>33</v>
      </c>
      <c r="B37" t="s">
        <v>68</v>
      </c>
      <c r="D37" s="26"/>
    </row>
    <row r="38" customFormat="1" spans="1:4">
      <c r="A38" s="25">
        <v>34</v>
      </c>
      <c r="B38" t="s">
        <v>69</v>
      </c>
      <c r="D38" s="26"/>
    </row>
    <row r="39" customFormat="1" spans="1:5">
      <c r="A39" s="25">
        <v>35</v>
      </c>
      <c r="B39" s="32" t="s">
        <v>70</v>
      </c>
      <c r="C39" s="32"/>
      <c r="D39" s="33">
        <f>SUM(D37:D38)</f>
        <v>0</v>
      </c>
      <c r="E39" s="32"/>
    </row>
    <row r="40" customFormat="1" spans="1:5">
      <c r="A40" s="25">
        <v>36</v>
      </c>
      <c r="B40" s="32" t="s">
        <v>71</v>
      </c>
      <c r="C40" s="32"/>
      <c r="D40" s="33">
        <f>D36-D39</f>
        <v>0</v>
      </c>
      <c r="E40" s="32"/>
    </row>
    <row r="41" spans="1:9">
      <c r="A41" s="25">
        <v>37</v>
      </c>
      <c r="B41" t="s">
        <v>72</v>
      </c>
      <c r="C41"/>
      <c r="D41"/>
      <c r="E41" s="17"/>
      <c r="F41" s="38"/>
      <c r="G41" s="38"/>
      <c r="H41" s="38"/>
      <c r="I41" s="38"/>
    </row>
    <row r="42" customFormat="1" spans="1:9">
      <c r="A42" s="25">
        <v>38</v>
      </c>
      <c r="B42" s="7" t="s">
        <v>73</v>
      </c>
      <c r="C42" s="34" t="s">
        <v>74</v>
      </c>
      <c r="D42" s="34" t="s">
        <v>75</v>
      </c>
      <c r="E42" s="32" t="s">
        <v>76</v>
      </c>
      <c r="G42" s="40"/>
      <c r="H42" s="40"/>
      <c r="I42" s="40"/>
    </row>
    <row r="43" spans="1:9">
      <c r="A43" s="25">
        <v>39</v>
      </c>
      <c r="B43" s="48"/>
      <c r="C43" s="49"/>
      <c r="D43" s="2"/>
      <c r="E43" s="19"/>
      <c r="F43" s="37"/>
      <c r="G43" s="44"/>
      <c r="H43" s="37"/>
      <c r="I43" s="37"/>
    </row>
    <row r="44" spans="1:9">
      <c r="A44" s="25">
        <v>40</v>
      </c>
      <c r="B44" s="48"/>
      <c r="C44" s="49"/>
      <c r="D44" s="2"/>
      <c r="E44" s="19"/>
      <c r="F44" s="37"/>
      <c r="G44" s="44"/>
      <c r="H44" s="37"/>
      <c r="I44" s="37"/>
    </row>
    <row r="45" spans="1:9">
      <c r="A45" s="25">
        <v>41</v>
      </c>
      <c r="B45" s="48"/>
      <c r="C45" s="49"/>
      <c r="D45" s="2"/>
      <c r="E45" s="19"/>
      <c r="F45" s="37"/>
      <c r="G45" s="44"/>
      <c r="H45" s="37"/>
      <c r="I45" s="37"/>
    </row>
    <row r="46" spans="1:9">
      <c r="A46" s="25">
        <v>42</v>
      </c>
      <c r="B46" s="48"/>
      <c r="C46" s="49"/>
      <c r="D46" s="2"/>
      <c r="E46" s="19"/>
      <c r="F46" s="37"/>
      <c r="G46" s="44"/>
      <c r="H46" s="37"/>
      <c r="I46" s="37"/>
    </row>
    <row r="47" spans="1:9">
      <c r="A47" s="25">
        <v>43</v>
      </c>
      <c r="B47" s="48"/>
      <c r="C47" s="49"/>
      <c r="D47" s="2"/>
      <c r="E47" s="19"/>
      <c r="F47" s="37"/>
      <c r="G47" s="44"/>
      <c r="H47" s="37"/>
      <c r="I47" s="37"/>
    </row>
    <row r="48" spans="1:9">
      <c r="A48" s="25">
        <v>44</v>
      </c>
      <c r="B48" s="48"/>
      <c r="C48" s="49"/>
      <c r="D48" s="2"/>
      <c r="E48" s="19"/>
      <c r="F48" s="37"/>
      <c r="G48" s="37"/>
      <c r="H48" s="37"/>
      <c r="I48" s="37"/>
    </row>
    <row r="49" spans="1:9">
      <c r="A49" s="25">
        <v>45</v>
      </c>
      <c r="B49" s="32" t="s">
        <v>77</v>
      </c>
      <c r="C49" s="50"/>
      <c r="D49" s="50"/>
      <c r="E49" s="52">
        <f>SUM(E43:E48)</f>
        <v>0</v>
      </c>
      <c r="F49" s="37"/>
      <c r="G49" s="37"/>
      <c r="H49" s="37"/>
      <c r="I49" s="37"/>
    </row>
  </sheetData>
  <printOptions gridLines="1"/>
  <pageMargins left="0.75" right="0.75" top="1" bottom="1" header="0.5" footer="0.5"/>
  <pageSetup paperSize="9" scale="83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view="pageBreakPreview" zoomScaleNormal="100" topLeftCell="A26" workbookViewId="0">
      <selection activeCell="J40" sqref="J40:L50"/>
    </sheetView>
  </sheetViews>
  <sheetFormatPr defaultColWidth="8.77777777777778" defaultRowHeight="12.75"/>
  <cols>
    <col min="1" max="1" width="5.33333333333333" style="1" customWidth="1"/>
    <col min="2" max="2" width="39.7777777777778" customWidth="1"/>
    <col min="3" max="4" width="12.7777777777778" style="17" customWidth="1"/>
    <col min="5" max="5" width="34.8888888888889" customWidth="1"/>
    <col min="6" max="6" width="10" customWidth="1"/>
  </cols>
  <sheetData>
    <row r="1" customFormat="1" spans="1:4">
      <c r="A1" s="1" t="s">
        <v>0</v>
      </c>
      <c r="C1" s="17"/>
      <c r="D1" s="17"/>
    </row>
    <row r="2" customFormat="1" spans="1:4">
      <c r="A2" s="1" t="s">
        <v>88</v>
      </c>
      <c r="B2" s="2"/>
      <c r="C2" s="17" t="s">
        <v>30</v>
      </c>
      <c r="D2" s="19" t="s">
        <v>31</v>
      </c>
    </row>
    <row r="3" customFormat="1" spans="1:8">
      <c r="A3" s="1" t="s">
        <v>32</v>
      </c>
      <c r="B3" s="2"/>
      <c r="C3" s="17" t="s">
        <v>2</v>
      </c>
      <c r="D3" s="55">
        <v>45989</v>
      </c>
      <c r="G3" s="21"/>
      <c r="H3" s="22"/>
    </row>
    <row r="4" s="16" customFormat="1" spans="1:5">
      <c r="A4" s="23" t="s">
        <v>3</v>
      </c>
      <c r="B4" s="8" t="s">
        <v>33</v>
      </c>
      <c r="C4" s="24" t="s">
        <v>34</v>
      </c>
      <c r="D4" s="24" t="s">
        <v>35</v>
      </c>
      <c r="E4" s="14" t="s">
        <v>36</v>
      </c>
    </row>
    <row r="5" customFormat="1" spans="1:5">
      <c r="A5" s="25">
        <v>1</v>
      </c>
      <c r="B5" t="s">
        <v>37</v>
      </c>
      <c r="D5" s="26"/>
      <c r="E5" s="26"/>
    </row>
    <row r="6" customFormat="1" spans="1:5">
      <c r="A6" s="25">
        <v>2</v>
      </c>
      <c r="B6" t="s">
        <v>38</v>
      </c>
      <c r="D6" s="26"/>
      <c r="E6" s="26"/>
    </row>
    <row r="7" customFormat="1" spans="1:5">
      <c r="A7" s="25">
        <v>3</v>
      </c>
      <c r="B7" t="s">
        <v>39</v>
      </c>
      <c r="D7" s="26"/>
      <c r="E7" s="26"/>
    </row>
    <row r="8" customFormat="1" spans="1:5">
      <c r="A8" s="25">
        <v>4</v>
      </c>
      <c r="B8" t="s">
        <v>40</v>
      </c>
      <c r="D8" s="26"/>
      <c r="E8" s="26"/>
    </row>
    <row r="9" customFormat="1" spans="1:5">
      <c r="A9" s="25">
        <v>5</v>
      </c>
      <c r="B9" t="s">
        <v>41</v>
      </c>
      <c r="D9" s="26"/>
      <c r="E9" s="26"/>
    </row>
    <row r="10" customFormat="1" ht="34.05" customHeight="1" spans="1:5">
      <c r="A10" s="25">
        <v>6</v>
      </c>
      <c r="B10" t="s">
        <v>42</v>
      </c>
      <c r="D10" s="53">
        <f>1770+1180</f>
        <v>2950</v>
      </c>
      <c r="E10" s="54" t="s">
        <v>82</v>
      </c>
    </row>
    <row r="11" customFormat="1" spans="1:5">
      <c r="A11" s="25">
        <v>7</v>
      </c>
      <c r="B11" t="s">
        <v>42</v>
      </c>
      <c r="D11" s="26">
        <v>4455</v>
      </c>
      <c r="E11" s="26" t="s">
        <v>89</v>
      </c>
    </row>
    <row r="12" customFormat="1" spans="1:5">
      <c r="A12" s="25">
        <v>8</v>
      </c>
      <c r="B12" s="32" t="s">
        <v>44</v>
      </c>
      <c r="C12" s="32"/>
      <c r="D12" s="33">
        <f>SUM(D5:D11)</f>
        <v>7405</v>
      </c>
      <c r="E12" s="33"/>
    </row>
    <row r="13" ht="51" spans="1:6">
      <c r="A13" s="25">
        <v>9</v>
      </c>
      <c r="B13" s="7" t="s">
        <v>45</v>
      </c>
      <c r="C13" s="34" t="s">
        <v>46</v>
      </c>
      <c r="D13" s="34" t="s">
        <v>47</v>
      </c>
      <c r="E13" s="34" t="s">
        <v>48</v>
      </c>
      <c r="F13" s="16"/>
    </row>
    <row r="14" customFormat="1" spans="1:5">
      <c r="A14" s="25">
        <v>10</v>
      </c>
      <c r="B14" t="s">
        <v>49</v>
      </c>
      <c r="C14" s="19"/>
      <c r="D14" s="19">
        <v>0</v>
      </c>
      <c r="E14" s="2"/>
    </row>
    <row r="15" customFormat="1" spans="1:5">
      <c r="A15" s="25">
        <v>11</v>
      </c>
      <c r="B15" t="s">
        <v>50</v>
      </c>
      <c r="C15" s="17"/>
      <c r="D15" s="19">
        <v>6641</v>
      </c>
      <c r="E15" s="2"/>
    </row>
    <row r="16" customFormat="1" spans="1:6">
      <c r="A16" s="25">
        <v>12</v>
      </c>
      <c r="B16" t="s">
        <v>51</v>
      </c>
      <c r="C16" s="17"/>
      <c r="D16" s="19">
        <f>D15-D14-D12</f>
        <v>-764</v>
      </c>
      <c r="E16" s="35"/>
      <c r="F16" s="35"/>
    </row>
    <row r="17" customFormat="1" spans="1:5">
      <c r="A17" s="25">
        <v>13</v>
      </c>
      <c r="B17" t="s">
        <v>52</v>
      </c>
      <c r="C17" s="17"/>
      <c r="D17" s="19"/>
      <c r="E17" s="35"/>
    </row>
    <row r="18" customFormat="1" spans="1:5">
      <c r="A18" s="25">
        <v>14</v>
      </c>
      <c r="B18" t="s">
        <v>53</v>
      </c>
      <c r="C18" s="17"/>
      <c r="D18" s="17">
        <f>SUM(D16:D17)</f>
        <v>-764</v>
      </c>
      <c r="E18" s="35"/>
    </row>
    <row r="19" customFormat="1" spans="1:5">
      <c r="A19" s="25">
        <v>15</v>
      </c>
      <c r="B19" s="32" t="s">
        <v>54</v>
      </c>
      <c r="C19" s="36"/>
      <c r="D19" s="36"/>
      <c r="E19" s="36"/>
    </row>
    <row r="20" customFormat="1" spans="1:5">
      <c r="A20" s="25">
        <v>16</v>
      </c>
      <c r="B20" t="s">
        <v>55</v>
      </c>
      <c r="C20" s="17"/>
      <c r="D20" s="17"/>
      <c r="E20" s="35"/>
    </row>
    <row r="21" customFormat="1" spans="1:4">
      <c r="A21" s="25">
        <v>17</v>
      </c>
      <c r="B21" t="s">
        <v>56</v>
      </c>
      <c r="C21" s="17"/>
      <c r="D21" s="17"/>
    </row>
    <row r="22" customFormat="1" spans="1:5">
      <c r="A22" s="25">
        <v>18</v>
      </c>
      <c r="B22" t="s">
        <v>57</v>
      </c>
      <c r="C22" s="17"/>
      <c r="D22" s="17"/>
      <c r="E22" s="35"/>
    </row>
    <row r="23" customFormat="1" spans="1:5">
      <c r="A23" s="25">
        <v>19</v>
      </c>
      <c r="B23" t="s">
        <v>57</v>
      </c>
      <c r="C23" s="17"/>
      <c r="D23" s="17"/>
      <c r="E23" s="35"/>
    </row>
    <row r="24" customFormat="1" spans="1:5">
      <c r="A24" s="25">
        <v>20</v>
      </c>
      <c r="B24" t="s">
        <v>57</v>
      </c>
      <c r="C24" s="17"/>
      <c r="D24" s="17"/>
      <c r="E24" s="35"/>
    </row>
    <row r="25" customFormat="1" spans="1:5">
      <c r="A25" s="25">
        <v>21</v>
      </c>
      <c r="B25" t="s">
        <v>57</v>
      </c>
      <c r="C25" s="17"/>
      <c r="D25" s="17"/>
      <c r="E25" s="35"/>
    </row>
    <row r="26" customFormat="1" spans="1:4">
      <c r="A26" s="25">
        <v>22</v>
      </c>
      <c r="B26" t="s">
        <v>58</v>
      </c>
      <c r="C26" s="17"/>
      <c r="D26" s="17"/>
    </row>
    <row r="27" customFormat="1" spans="1:4">
      <c r="A27" s="25">
        <v>23</v>
      </c>
      <c r="B27" t="s">
        <v>59</v>
      </c>
      <c r="C27" s="17"/>
      <c r="D27" s="17"/>
    </row>
    <row r="28" customFormat="1" spans="1:4">
      <c r="A28" s="25">
        <v>24</v>
      </c>
      <c r="B28" t="s">
        <v>60</v>
      </c>
      <c r="C28" s="17"/>
      <c r="D28" s="17">
        <f>SUM(D20:D25)-D26-D27</f>
        <v>0</v>
      </c>
    </row>
    <row r="29" customFormat="1" spans="1:5">
      <c r="A29" s="25">
        <v>25</v>
      </c>
      <c r="B29" s="32" t="s">
        <v>61</v>
      </c>
      <c r="C29" s="36"/>
      <c r="D29" s="36"/>
      <c r="E29" s="36"/>
    </row>
    <row r="30" customFormat="1" spans="1:4">
      <c r="A30" s="25">
        <v>26</v>
      </c>
      <c r="B30" t="s">
        <v>62</v>
      </c>
      <c r="C30" s="37"/>
      <c r="D30" s="38">
        <v>0</v>
      </c>
    </row>
    <row r="31" customFormat="1" spans="1:5">
      <c r="A31" s="25">
        <v>27</v>
      </c>
      <c r="B31" t="s">
        <v>63</v>
      </c>
      <c r="C31" s="19"/>
      <c r="D31" s="17">
        <v>0</v>
      </c>
      <c r="E31" s="35"/>
    </row>
    <row r="32" customFormat="1" spans="1:5">
      <c r="A32" s="25">
        <v>28</v>
      </c>
      <c r="B32" s="8" t="s">
        <v>45</v>
      </c>
      <c r="C32" s="32"/>
      <c r="D32" s="39" t="s">
        <v>35</v>
      </c>
      <c r="E32" s="8" t="s">
        <v>48</v>
      </c>
    </row>
    <row r="33" customFormat="1" spans="1:4">
      <c r="A33" s="25">
        <v>29</v>
      </c>
      <c r="B33" t="s">
        <v>64</v>
      </c>
      <c r="D33" s="26"/>
    </row>
    <row r="34" customFormat="1" spans="1:4">
      <c r="A34" s="25">
        <v>30</v>
      </c>
      <c r="B34" t="s">
        <v>65</v>
      </c>
      <c r="D34" s="26"/>
    </row>
    <row r="35" customFormat="1" spans="1:4">
      <c r="A35" s="25">
        <v>31</v>
      </c>
      <c r="B35" t="s">
        <v>66</v>
      </c>
      <c r="D35" s="26"/>
    </row>
    <row r="36" customFormat="1" spans="1:5">
      <c r="A36" s="25">
        <v>32</v>
      </c>
      <c r="B36" s="32" t="s">
        <v>67</v>
      </c>
      <c r="C36" s="32"/>
      <c r="D36" s="33">
        <f>SUM(D33:D35)</f>
        <v>0</v>
      </c>
      <c r="E36" s="32"/>
    </row>
    <row r="37" customFormat="1" spans="1:4">
      <c r="A37" s="25">
        <v>33</v>
      </c>
      <c r="B37" t="s">
        <v>68</v>
      </c>
      <c r="D37" s="26"/>
    </row>
    <row r="38" customFormat="1" spans="1:4">
      <c r="A38" s="25">
        <v>34</v>
      </c>
      <c r="B38" t="s">
        <v>69</v>
      </c>
      <c r="D38" s="26"/>
    </row>
    <row r="39" customFormat="1" spans="1:5">
      <c r="A39" s="25">
        <v>35</v>
      </c>
      <c r="B39" s="32" t="s">
        <v>70</v>
      </c>
      <c r="C39" s="32"/>
      <c r="D39" s="33">
        <f>SUM(D37:D38)</f>
        <v>0</v>
      </c>
      <c r="E39" s="32"/>
    </row>
    <row r="40" customFormat="1" spans="1:5">
      <c r="A40" s="25">
        <v>36</v>
      </c>
      <c r="B40" s="32" t="s">
        <v>71</v>
      </c>
      <c r="C40" s="32"/>
      <c r="D40" s="33">
        <f>D36-D39</f>
        <v>0</v>
      </c>
      <c r="E40" s="32"/>
    </row>
    <row r="41" spans="1:9">
      <c r="A41" s="25">
        <v>37</v>
      </c>
      <c r="B41" t="s">
        <v>72</v>
      </c>
      <c r="C41"/>
      <c r="D41"/>
      <c r="E41" s="17"/>
      <c r="F41" s="38"/>
      <c r="G41" s="38"/>
      <c r="H41" s="38"/>
      <c r="I41" s="38"/>
    </row>
    <row r="42" customFormat="1" spans="1:9">
      <c r="A42" s="25">
        <v>38</v>
      </c>
      <c r="B42" s="7" t="s">
        <v>73</v>
      </c>
      <c r="C42" s="34" t="s">
        <v>74</v>
      </c>
      <c r="D42" s="34" t="s">
        <v>75</v>
      </c>
      <c r="E42" s="32" t="s">
        <v>76</v>
      </c>
      <c r="G42" s="40"/>
      <c r="H42" s="40"/>
      <c r="I42" s="40"/>
    </row>
    <row r="43" spans="1:9">
      <c r="A43" s="25">
        <v>39</v>
      </c>
      <c r="B43" s="48"/>
      <c r="C43" s="49"/>
      <c r="D43" s="2"/>
      <c r="E43" s="19"/>
      <c r="F43" s="37"/>
      <c r="G43" s="44"/>
      <c r="H43" s="37"/>
      <c r="I43" s="37"/>
    </row>
    <row r="44" spans="1:9">
      <c r="A44" s="25">
        <v>40</v>
      </c>
      <c r="B44" s="48"/>
      <c r="C44" s="49"/>
      <c r="D44" s="2"/>
      <c r="E44" s="19"/>
      <c r="F44" s="37"/>
      <c r="G44" s="44"/>
      <c r="H44" s="37"/>
      <c r="I44" s="37"/>
    </row>
    <row r="45" spans="1:9">
      <c r="A45" s="25">
        <v>41</v>
      </c>
      <c r="B45" s="48"/>
      <c r="C45" s="49"/>
      <c r="D45" s="2"/>
      <c r="E45" s="19"/>
      <c r="F45" s="37"/>
      <c r="G45" s="44"/>
      <c r="H45" s="37"/>
      <c r="I45" s="37"/>
    </row>
    <row r="46" spans="1:9">
      <c r="A46" s="25">
        <v>42</v>
      </c>
      <c r="B46" s="48"/>
      <c r="C46" s="49"/>
      <c r="D46" s="2"/>
      <c r="E46" s="19"/>
      <c r="F46" s="37"/>
      <c r="G46" s="44"/>
      <c r="H46" s="37"/>
      <c r="I46" s="37"/>
    </row>
    <row r="47" spans="1:9">
      <c r="A47" s="25">
        <v>43</v>
      </c>
      <c r="B47" s="48"/>
      <c r="C47" s="49"/>
      <c r="D47" s="2"/>
      <c r="E47" s="19"/>
      <c r="F47" s="37"/>
      <c r="G47" s="44"/>
      <c r="H47" s="37"/>
      <c r="I47" s="37"/>
    </row>
    <row r="48" spans="1:9">
      <c r="A48" s="25">
        <v>44</v>
      </c>
      <c r="B48" s="48"/>
      <c r="C48" s="49"/>
      <c r="D48" s="2"/>
      <c r="E48" s="19"/>
      <c r="F48" s="37"/>
      <c r="G48" s="37"/>
      <c r="H48" s="37"/>
      <c r="I48" s="37"/>
    </row>
    <row r="49" spans="1:9">
      <c r="A49" s="25">
        <v>45</v>
      </c>
      <c r="B49" s="32" t="s">
        <v>77</v>
      </c>
      <c r="C49" s="50"/>
      <c r="D49" s="50"/>
      <c r="E49" s="52">
        <f>SUM(E43:E48)</f>
        <v>0</v>
      </c>
      <c r="F49" s="37"/>
      <c r="G49" s="37"/>
      <c r="H49" s="37"/>
      <c r="I49" s="37"/>
    </row>
  </sheetData>
  <printOptions gridLines="1"/>
  <pageMargins left="0.75" right="0.75" top="1" bottom="1" header="0.5" footer="0.5"/>
  <pageSetup paperSize="9" scale="9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"/>
  <sheetViews>
    <sheetView view="pageBreakPreview" zoomScaleNormal="100" topLeftCell="A16" workbookViewId="0">
      <selection activeCell="H34" sqref="H34"/>
    </sheetView>
  </sheetViews>
  <sheetFormatPr defaultColWidth="8.77777777777778" defaultRowHeight="12.75"/>
  <cols>
    <col min="1" max="1" width="5.33333333333333" style="1" customWidth="1"/>
    <col min="2" max="2" width="39.7777777777778" customWidth="1"/>
    <col min="3" max="4" width="12.7777777777778" style="17" customWidth="1"/>
    <col min="5" max="5" width="34.8888888888889" customWidth="1"/>
    <col min="6" max="6" width="10" customWidth="1"/>
  </cols>
  <sheetData>
    <row r="1" customFormat="1" spans="1:4">
      <c r="A1" s="1" t="s">
        <v>0</v>
      </c>
      <c r="C1" s="17"/>
      <c r="D1" s="17"/>
    </row>
    <row r="2" customFormat="1" spans="1:4">
      <c r="A2" s="1" t="s">
        <v>90</v>
      </c>
      <c r="B2" s="2"/>
      <c r="C2" s="17" t="s">
        <v>30</v>
      </c>
      <c r="D2" s="60" t="s">
        <v>31</v>
      </c>
    </row>
    <row r="3" customFormat="1" spans="1:8">
      <c r="A3" s="1" t="s">
        <v>32</v>
      </c>
      <c r="B3" s="2"/>
      <c r="C3" s="17" t="s">
        <v>2</v>
      </c>
      <c r="D3" s="55">
        <v>45989</v>
      </c>
      <c r="G3" s="21"/>
      <c r="H3" s="22"/>
    </row>
    <row r="4" s="16" customFormat="1" spans="1:5">
      <c r="A4" s="23" t="s">
        <v>3</v>
      </c>
      <c r="B4" s="8" t="s">
        <v>33</v>
      </c>
      <c r="C4" s="24" t="s">
        <v>34</v>
      </c>
      <c r="D4" s="24" t="s">
        <v>35</v>
      </c>
      <c r="E4" s="14" t="s">
        <v>36</v>
      </c>
    </row>
    <row r="5" customFormat="1" spans="1:5">
      <c r="A5" s="25">
        <v>1</v>
      </c>
      <c r="B5" t="s">
        <v>37</v>
      </c>
      <c r="D5" s="26"/>
      <c r="E5" s="26"/>
    </row>
    <row r="6" customFormat="1" spans="1:5">
      <c r="A6" s="25">
        <v>2</v>
      </c>
      <c r="B6" t="s">
        <v>38</v>
      </c>
      <c r="D6" s="26"/>
      <c r="E6" s="26"/>
    </row>
    <row r="7" customFormat="1" spans="1:5">
      <c r="A7" s="25">
        <v>3</v>
      </c>
      <c r="B7" t="s">
        <v>39</v>
      </c>
      <c r="D7" s="26"/>
      <c r="E7" s="26"/>
    </row>
    <row r="8" customFormat="1" spans="1:5">
      <c r="A8" s="25">
        <v>4</v>
      </c>
      <c r="B8" t="s">
        <v>40</v>
      </c>
      <c r="D8" s="26"/>
      <c r="E8" s="26"/>
    </row>
    <row r="9" customFormat="1" spans="1:5">
      <c r="A9" s="25">
        <v>5</v>
      </c>
      <c r="B9" t="s">
        <v>41</v>
      </c>
      <c r="D9" s="26"/>
      <c r="E9" s="26"/>
    </row>
    <row r="10" customFormat="1" ht="34.05" customHeight="1" spans="1:5">
      <c r="A10" s="25">
        <v>6</v>
      </c>
      <c r="B10" t="s">
        <v>42</v>
      </c>
      <c r="D10" s="53">
        <v>1180</v>
      </c>
      <c r="E10" s="54" t="s">
        <v>91</v>
      </c>
    </row>
    <row r="11" customFormat="1" spans="1:5">
      <c r="A11" s="25">
        <v>7</v>
      </c>
      <c r="B11" s="32" t="s">
        <v>44</v>
      </c>
      <c r="C11" s="32"/>
      <c r="D11" s="33">
        <f>SUM(D5:D10)</f>
        <v>1180</v>
      </c>
      <c r="E11" s="33"/>
    </row>
    <row r="12" ht="51" spans="1:6">
      <c r="A12" s="25">
        <v>8</v>
      </c>
      <c r="B12" s="7" t="s">
        <v>45</v>
      </c>
      <c r="C12" s="34" t="s">
        <v>46</v>
      </c>
      <c r="D12" s="34" t="s">
        <v>47</v>
      </c>
      <c r="E12" s="34" t="s">
        <v>48</v>
      </c>
      <c r="F12" s="16"/>
    </row>
    <row r="13" customFormat="1" spans="1:5">
      <c r="A13" s="25">
        <v>9</v>
      </c>
      <c r="B13" t="s">
        <v>49</v>
      </c>
      <c r="C13" s="19"/>
      <c r="D13" s="19">
        <v>0</v>
      </c>
      <c r="E13" s="2"/>
    </row>
    <row r="14" customFormat="1" spans="1:5">
      <c r="A14" s="25">
        <v>10</v>
      </c>
      <c r="B14" t="s">
        <v>50</v>
      </c>
      <c r="C14" s="17"/>
      <c r="D14" s="19">
        <v>93422</v>
      </c>
      <c r="E14" s="2"/>
    </row>
    <row r="15" customFormat="1" spans="1:6">
      <c r="A15" s="25">
        <v>11</v>
      </c>
      <c r="B15" t="s">
        <v>51</v>
      </c>
      <c r="C15" s="17"/>
      <c r="D15" s="19">
        <f>D14-D13-D11</f>
        <v>92242</v>
      </c>
      <c r="E15" s="35"/>
      <c r="F15" s="35"/>
    </row>
    <row r="16" customFormat="1" spans="1:5">
      <c r="A16" s="25">
        <v>12</v>
      </c>
      <c r="B16" t="s">
        <v>52</v>
      </c>
      <c r="C16" s="17"/>
      <c r="D16" s="19"/>
      <c r="E16" s="35"/>
    </row>
    <row r="17" customFormat="1" spans="1:5">
      <c r="A17" s="25">
        <v>13</v>
      </c>
      <c r="B17" t="s">
        <v>53</v>
      </c>
      <c r="C17" s="17"/>
      <c r="D17" s="17">
        <f>SUM(D15:D16)</f>
        <v>92242</v>
      </c>
      <c r="E17" s="35"/>
    </row>
    <row r="18" customFormat="1" spans="1:5">
      <c r="A18" s="25">
        <v>14</v>
      </c>
      <c r="B18" s="32" t="s">
        <v>54</v>
      </c>
      <c r="C18" s="36"/>
      <c r="D18" s="36"/>
      <c r="E18" s="36"/>
    </row>
    <row r="19" customFormat="1" spans="1:5">
      <c r="A19" s="25">
        <v>15</v>
      </c>
      <c r="B19" t="s">
        <v>55</v>
      </c>
      <c r="C19" s="17"/>
      <c r="D19" s="17"/>
      <c r="E19" s="35"/>
    </row>
    <row r="20" customFormat="1" spans="1:4">
      <c r="A20" s="25">
        <v>16</v>
      </c>
      <c r="B20" t="s">
        <v>56</v>
      </c>
      <c r="C20" s="17"/>
      <c r="D20" s="17"/>
    </row>
    <row r="21" customFormat="1" spans="1:5">
      <c r="A21" s="25">
        <v>17</v>
      </c>
      <c r="B21" t="s">
        <v>57</v>
      </c>
      <c r="C21" s="17"/>
      <c r="D21" s="17"/>
      <c r="E21" s="35"/>
    </row>
    <row r="22" customFormat="1" spans="1:5">
      <c r="A22" s="25">
        <v>18</v>
      </c>
      <c r="B22" t="s">
        <v>57</v>
      </c>
      <c r="C22" s="17"/>
      <c r="D22" s="17"/>
      <c r="E22" s="35"/>
    </row>
    <row r="23" customFormat="1" spans="1:5">
      <c r="A23" s="25">
        <v>19</v>
      </c>
      <c r="B23" t="s">
        <v>57</v>
      </c>
      <c r="C23" s="17"/>
      <c r="D23" s="17"/>
      <c r="E23" s="35"/>
    </row>
    <row r="24" customFormat="1" spans="1:5">
      <c r="A24" s="25">
        <v>20</v>
      </c>
      <c r="B24" t="s">
        <v>57</v>
      </c>
      <c r="C24" s="17"/>
      <c r="D24" s="17"/>
      <c r="E24" s="35"/>
    </row>
    <row r="25" customFormat="1" spans="1:4">
      <c r="A25" s="25">
        <v>21</v>
      </c>
      <c r="B25" t="s">
        <v>58</v>
      </c>
      <c r="C25" s="17"/>
      <c r="D25" s="17"/>
    </row>
    <row r="26" customFormat="1" spans="1:4">
      <c r="A26" s="25">
        <v>22</v>
      </c>
      <c r="B26" t="s">
        <v>59</v>
      </c>
      <c r="C26" s="17"/>
      <c r="D26" s="17"/>
    </row>
    <row r="27" customFormat="1" spans="1:4">
      <c r="A27" s="25">
        <v>23</v>
      </c>
      <c r="B27" t="s">
        <v>60</v>
      </c>
      <c r="C27" s="17"/>
      <c r="D27" s="17">
        <f>SUM(D19:D24)-D25-D26</f>
        <v>0</v>
      </c>
    </row>
    <row r="28" customFormat="1" spans="1:5">
      <c r="A28" s="25">
        <v>24</v>
      </c>
      <c r="B28" s="32" t="s">
        <v>61</v>
      </c>
      <c r="C28" s="36"/>
      <c r="D28" s="36"/>
      <c r="E28" s="36"/>
    </row>
    <row r="29" customFormat="1" spans="1:4">
      <c r="A29" s="25">
        <v>25</v>
      </c>
      <c r="B29" t="s">
        <v>62</v>
      </c>
      <c r="C29" s="37"/>
      <c r="D29" s="38">
        <v>0</v>
      </c>
    </row>
    <row r="30" customFormat="1" spans="1:5">
      <c r="A30" s="25">
        <v>26</v>
      </c>
      <c r="B30" t="s">
        <v>63</v>
      </c>
      <c r="C30" s="19"/>
      <c r="D30" s="17">
        <v>0</v>
      </c>
      <c r="E30" s="35"/>
    </row>
    <row r="31" customFormat="1" spans="1:5">
      <c r="A31" s="25">
        <v>27</v>
      </c>
      <c r="B31" s="8" t="s">
        <v>45</v>
      </c>
      <c r="C31" s="32"/>
      <c r="D31" s="39" t="s">
        <v>35</v>
      </c>
      <c r="E31" s="8" t="s">
        <v>48</v>
      </c>
    </row>
    <row r="32" customFormat="1" spans="1:4">
      <c r="A32" s="25">
        <v>28</v>
      </c>
      <c r="B32" t="s">
        <v>64</v>
      </c>
      <c r="D32" s="26"/>
    </row>
    <row r="33" customFormat="1" spans="1:4">
      <c r="A33" s="25">
        <v>29</v>
      </c>
      <c r="B33" t="s">
        <v>65</v>
      </c>
      <c r="D33" s="26"/>
    </row>
    <row r="34" customFormat="1" spans="1:4">
      <c r="A34" s="25">
        <v>30</v>
      </c>
      <c r="B34" t="s">
        <v>66</v>
      </c>
      <c r="D34" s="26"/>
    </row>
    <row r="35" customFormat="1" spans="1:5">
      <c r="A35" s="25">
        <v>31</v>
      </c>
      <c r="B35" s="32" t="s">
        <v>67</v>
      </c>
      <c r="C35" s="32"/>
      <c r="D35" s="33">
        <f>SUM(D32:D34)</f>
        <v>0</v>
      </c>
      <c r="E35" s="32"/>
    </row>
    <row r="36" customFormat="1" spans="1:4">
      <c r="A36" s="25">
        <v>32</v>
      </c>
      <c r="B36" t="s">
        <v>68</v>
      </c>
      <c r="D36" s="26"/>
    </row>
    <row r="37" customFormat="1" spans="1:4">
      <c r="A37" s="25">
        <v>33</v>
      </c>
      <c r="B37" t="s">
        <v>69</v>
      </c>
      <c r="D37" s="26"/>
    </row>
    <row r="38" customFormat="1" spans="1:5">
      <c r="A38" s="25">
        <v>34</v>
      </c>
      <c r="B38" s="32" t="s">
        <v>70</v>
      </c>
      <c r="C38" s="32"/>
      <c r="D38" s="33">
        <f>SUM(D36:D37)</f>
        <v>0</v>
      </c>
      <c r="E38" s="32"/>
    </row>
    <row r="39" customFormat="1" spans="1:5">
      <c r="A39" s="25">
        <v>35</v>
      </c>
      <c r="B39" s="32" t="s">
        <v>71</v>
      </c>
      <c r="C39" s="32"/>
      <c r="D39" s="33">
        <f>D35-D38</f>
        <v>0</v>
      </c>
      <c r="E39" s="32"/>
    </row>
    <row r="40" spans="1:9">
      <c r="A40" s="25">
        <v>36</v>
      </c>
      <c r="B40" t="s">
        <v>72</v>
      </c>
      <c r="C40"/>
      <c r="D40"/>
      <c r="E40" s="17"/>
      <c r="F40" s="38"/>
      <c r="G40" s="38"/>
      <c r="H40" s="38"/>
      <c r="I40" s="38"/>
    </row>
    <row r="41" customFormat="1" spans="1:9">
      <c r="A41" s="25">
        <v>37</v>
      </c>
      <c r="B41" s="7" t="s">
        <v>73</v>
      </c>
      <c r="C41" s="34" t="s">
        <v>74</v>
      </c>
      <c r="D41" s="34" t="s">
        <v>75</v>
      </c>
      <c r="E41" s="32" t="s">
        <v>76</v>
      </c>
      <c r="G41" s="40"/>
      <c r="H41" s="40"/>
      <c r="I41" s="40"/>
    </row>
    <row r="42" spans="1:9">
      <c r="A42" s="25">
        <v>38</v>
      </c>
      <c r="B42" s="48"/>
      <c r="C42" s="49"/>
      <c r="D42" s="2"/>
      <c r="E42" s="19"/>
      <c r="F42" s="37"/>
      <c r="G42" s="44"/>
      <c r="H42" s="37"/>
      <c r="I42" s="37"/>
    </row>
    <row r="43" spans="1:9">
      <c r="A43" s="25">
        <v>39</v>
      </c>
      <c r="B43" s="48"/>
      <c r="C43" s="49"/>
      <c r="D43" s="2"/>
      <c r="E43" s="19"/>
      <c r="F43" s="37"/>
      <c r="G43" s="44"/>
      <c r="H43" s="37"/>
      <c r="I43" s="37"/>
    </row>
    <row r="44" spans="1:9">
      <c r="A44" s="25">
        <v>40</v>
      </c>
      <c r="B44" s="48"/>
      <c r="C44" s="49"/>
      <c r="D44" s="2"/>
      <c r="E44" s="19"/>
      <c r="F44" s="37"/>
      <c r="G44" s="44"/>
      <c r="H44" s="37"/>
      <c r="I44" s="37"/>
    </row>
    <row r="45" spans="1:9">
      <c r="A45" s="25">
        <v>41</v>
      </c>
      <c r="B45" s="48"/>
      <c r="C45" s="49"/>
      <c r="D45" s="2"/>
      <c r="E45" s="19"/>
      <c r="F45" s="37"/>
      <c r="G45" s="44"/>
      <c r="H45" s="37"/>
      <c r="I45" s="37"/>
    </row>
    <row r="46" spans="1:9">
      <c r="A46" s="25">
        <v>42</v>
      </c>
      <c r="B46" s="48"/>
      <c r="C46" s="49"/>
      <c r="D46" s="2"/>
      <c r="E46" s="19"/>
      <c r="F46" s="37"/>
      <c r="G46" s="44"/>
      <c r="H46" s="37"/>
      <c r="I46" s="37"/>
    </row>
    <row r="47" spans="1:9">
      <c r="A47" s="25">
        <v>43</v>
      </c>
      <c r="B47" s="48"/>
      <c r="C47" s="49"/>
      <c r="D47" s="2"/>
      <c r="E47" s="19"/>
      <c r="F47" s="37"/>
      <c r="G47" s="37"/>
      <c r="H47" s="37"/>
      <c r="I47" s="37"/>
    </row>
    <row r="48" spans="1:9">
      <c r="A48" s="25">
        <v>44</v>
      </c>
      <c r="B48" s="32" t="s">
        <v>77</v>
      </c>
      <c r="C48" s="50"/>
      <c r="D48" s="50"/>
      <c r="E48" s="52">
        <f>SUM(E42:E47)</f>
        <v>0</v>
      </c>
      <c r="F48" s="37"/>
      <c r="G48" s="37"/>
      <c r="H48" s="37"/>
      <c r="I48" s="37"/>
    </row>
  </sheetData>
  <printOptions gridLines="1"/>
  <pageMargins left="0.75" right="0.75" top="1" bottom="1" header="0.5" footer="0.5"/>
  <pageSetup paperSize="9" scale="9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view="pageBreakPreview" zoomScaleNormal="100" topLeftCell="A27" workbookViewId="0">
      <selection activeCell="A5" sqref="A5:A50"/>
    </sheetView>
  </sheetViews>
  <sheetFormatPr defaultColWidth="8.77777777777778" defaultRowHeight="12.75"/>
  <cols>
    <col min="1" max="1" width="5.33333333333333" style="1" customWidth="1"/>
    <col min="2" max="2" width="39.7777777777778" customWidth="1"/>
    <col min="3" max="4" width="12.7777777777778" style="17" customWidth="1"/>
    <col min="5" max="5" width="49.3333333333333" customWidth="1"/>
    <col min="6" max="6" width="10" customWidth="1"/>
  </cols>
  <sheetData>
    <row r="1" customFormat="1" spans="1:4">
      <c r="A1" s="1" t="s">
        <v>0</v>
      </c>
      <c r="C1" s="17"/>
      <c r="D1" s="17"/>
    </row>
    <row r="2" customFormat="1" spans="1:4">
      <c r="A2" s="1" t="s">
        <v>92</v>
      </c>
      <c r="B2" s="2"/>
      <c r="C2" s="17" t="s">
        <v>30</v>
      </c>
      <c r="D2" s="19" t="s">
        <v>31</v>
      </c>
    </row>
    <row r="3" customFormat="1" spans="1:8">
      <c r="A3" s="1" t="s">
        <v>32</v>
      </c>
      <c r="B3" s="2"/>
      <c r="C3" s="17" t="s">
        <v>2</v>
      </c>
      <c r="D3" s="55">
        <v>45989</v>
      </c>
      <c r="G3" s="21"/>
      <c r="H3" s="22"/>
    </row>
    <row r="4" s="16" customFormat="1" spans="1:5">
      <c r="A4" s="23" t="s">
        <v>3</v>
      </c>
      <c r="B4" s="8" t="s">
        <v>33</v>
      </c>
      <c r="C4" s="24" t="s">
        <v>34</v>
      </c>
      <c r="D4" s="24" t="s">
        <v>35</v>
      </c>
      <c r="E4" s="14" t="s">
        <v>36</v>
      </c>
    </row>
    <row r="5" customFormat="1" spans="1:5">
      <c r="A5" s="25">
        <v>1</v>
      </c>
      <c r="B5" t="s">
        <v>37</v>
      </c>
      <c r="D5" s="26"/>
      <c r="E5" s="26"/>
    </row>
    <row r="6" customFormat="1" spans="1:5">
      <c r="A6" s="25">
        <v>2</v>
      </c>
      <c r="B6" t="s">
        <v>38</v>
      </c>
      <c r="D6" s="26"/>
      <c r="E6" s="26"/>
    </row>
    <row r="7" customFormat="1" spans="1:5">
      <c r="A7" s="25">
        <v>3</v>
      </c>
      <c r="B7" t="s">
        <v>39</v>
      </c>
      <c r="D7" s="26"/>
      <c r="E7" s="26"/>
    </row>
    <row r="8" customFormat="1" spans="1:5">
      <c r="A8" s="25">
        <v>4</v>
      </c>
      <c r="B8" t="s">
        <v>40</v>
      </c>
      <c r="D8" s="26"/>
      <c r="E8" s="26"/>
    </row>
    <row r="9" customFormat="1" spans="1:5">
      <c r="A9" s="25">
        <v>5</v>
      </c>
      <c r="B9" t="s">
        <v>41</v>
      </c>
      <c r="D9" s="26"/>
      <c r="E9" s="26"/>
    </row>
    <row r="10" customFormat="1" ht="34.05" customHeight="1" spans="1:5">
      <c r="A10" s="25">
        <v>6</v>
      </c>
      <c r="B10" t="s">
        <v>42</v>
      </c>
      <c r="D10" s="53">
        <f>1770+1770+5900</f>
        <v>9440</v>
      </c>
      <c r="E10" s="54" t="s">
        <v>93</v>
      </c>
    </row>
    <row r="11" customFormat="1" spans="1:5">
      <c r="A11" s="25">
        <v>7</v>
      </c>
      <c r="B11" t="s">
        <v>42</v>
      </c>
      <c r="D11" s="26">
        <v>300</v>
      </c>
      <c r="E11" s="26" t="s">
        <v>94</v>
      </c>
    </row>
    <row r="12" customFormat="1" spans="1:5">
      <c r="A12" s="25">
        <v>8</v>
      </c>
      <c r="D12" s="26">
        <v>10355</v>
      </c>
      <c r="E12" s="26" t="s">
        <v>80</v>
      </c>
    </row>
    <row r="13" customFormat="1" spans="1:5">
      <c r="A13" s="25">
        <v>9</v>
      </c>
      <c r="B13" s="32" t="s">
        <v>44</v>
      </c>
      <c r="C13" s="32"/>
      <c r="D13" s="33">
        <f>SUM(D5:D11)</f>
        <v>9740</v>
      </c>
      <c r="E13" s="33"/>
    </row>
    <row r="14" ht="51" spans="1:6">
      <c r="A14" s="25">
        <v>10</v>
      </c>
      <c r="B14" s="7" t="s">
        <v>45</v>
      </c>
      <c r="C14" s="34" t="s">
        <v>46</v>
      </c>
      <c r="D14" s="34" t="s">
        <v>47</v>
      </c>
      <c r="E14" s="34" t="s">
        <v>48</v>
      </c>
      <c r="F14" s="16"/>
    </row>
    <row r="15" customFormat="1" spans="1:5">
      <c r="A15" s="25">
        <v>11</v>
      </c>
      <c r="B15" t="s">
        <v>49</v>
      </c>
      <c r="C15" s="19"/>
      <c r="D15" s="19">
        <v>0</v>
      </c>
      <c r="E15" s="2"/>
    </row>
    <row r="16" customFormat="1" spans="1:5">
      <c r="A16" s="25">
        <v>12</v>
      </c>
      <c r="B16" t="s">
        <v>50</v>
      </c>
      <c r="C16" s="17"/>
      <c r="D16" s="19">
        <v>3321</v>
      </c>
      <c r="E16" s="2"/>
    </row>
    <row r="17" customFormat="1" spans="1:6">
      <c r="A17" s="25">
        <v>13</v>
      </c>
      <c r="B17" t="s">
        <v>51</v>
      </c>
      <c r="C17" s="17"/>
      <c r="D17" s="19">
        <f>D16-D15-D13</f>
        <v>-6419</v>
      </c>
      <c r="E17" s="35"/>
      <c r="F17" s="35"/>
    </row>
    <row r="18" customFormat="1" spans="1:5">
      <c r="A18" s="25">
        <v>14</v>
      </c>
      <c r="B18" t="s">
        <v>52</v>
      </c>
      <c r="C18" s="17"/>
      <c r="D18" s="19"/>
      <c r="E18" s="35"/>
    </row>
    <row r="19" customFormat="1" spans="1:5">
      <c r="A19" s="25">
        <v>15</v>
      </c>
      <c r="B19" t="s">
        <v>53</v>
      </c>
      <c r="C19" s="17"/>
      <c r="D19" s="17">
        <f>SUM(D17:D18)</f>
        <v>-6419</v>
      </c>
      <c r="E19" s="35"/>
    </row>
    <row r="20" customFormat="1" spans="1:5">
      <c r="A20" s="25">
        <v>16</v>
      </c>
      <c r="B20" s="32" t="s">
        <v>54</v>
      </c>
      <c r="C20" s="36"/>
      <c r="D20" s="36"/>
      <c r="E20" s="36"/>
    </row>
    <row r="21" customFormat="1" spans="1:5">
      <c r="A21" s="25">
        <v>17</v>
      </c>
      <c r="B21" t="s">
        <v>55</v>
      </c>
      <c r="C21" s="17"/>
      <c r="D21" s="17"/>
      <c r="E21" s="35"/>
    </row>
    <row r="22" customFormat="1" spans="1:4">
      <c r="A22" s="25">
        <v>18</v>
      </c>
      <c r="B22" t="s">
        <v>56</v>
      </c>
      <c r="C22" s="17"/>
      <c r="D22" s="17"/>
    </row>
    <row r="23" customFormat="1" spans="1:5">
      <c r="A23" s="25">
        <v>19</v>
      </c>
      <c r="B23" t="s">
        <v>57</v>
      </c>
      <c r="C23" s="17"/>
      <c r="D23" s="17"/>
      <c r="E23" s="35"/>
    </row>
    <row r="24" customFormat="1" spans="1:5">
      <c r="A24" s="25">
        <v>20</v>
      </c>
      <c r="B24" t="s">
        <v>57</v>
      </c>
      <c r="C24" s="17"/>
      <c r="D24" s="17"/>
      <c r="E24" s="35"/>
    </row>
    <row r="25" customFormat="1" spans="1:5">
      <c r="A25" s="25">
        <v>21</v>
      </c>
      <c r="B25" t="s">
        <v>57</v>
      </c>
      <c r="C25" s="17"/>
      <c r="D25" s="17"/>
      <c r="E25" s="35"/>
    </row>
    <row r="26" customFormat="1" spans="1:5">
      <c r="A26" s="25">
        <v>22</v>
      </c>
      <c r="B26" t="s">
        <v>57</v>
      </c>
      <c r="C26" s="17"/>
      <c r="D26" s="17"/>
      <c r="E26" s="35"/>
    </row>
    <row r="27" customFormat="1" spans="1:4">
      <c r="A27" s="25">
        <v>23</v>
      </c>
      <c r="B27" t="s">
        <v>58</v>
      </c>
      <c r="C27" s="17"/>
      <c r="D27" s="17"/>
    </row>
    <row r="28" customFormat="1" spans="1:4">
      <c r="A28" s="25">
        <v>24</v>
      </c>
      <c r="B28" t="s">
        <v>59</v>
      </c>
      <c r="C28" s="17"/>
      <c r="D28" s="17"/>
    </row>
    <row r="29" customFormat="1" spans="1:4">
      <c r="A29" s="25">
        <v>25</v>
      </c>
      <c r="B29" t="s">
        <v>60</v>
      </c>
      <c r="C29" s="17"/>
      <c r="D29" s="17">
        <f>SUM(D21:D26)-D27-D28</f>
        <v>0</v>
      </c>
    </row>
    <row r="30" customFormat="1" spans="1:5">
      <c r="A30" s="25">
        <v>26</v>
      </c>
      <c r="B30" s="32" t="s">
        <v>61</v>
      </c>
      <c r="C30" s="36"/>
      <c r="D30" s="36"/>
      <c r="E30" s="36"/>
    </row>
    <row r="31" customFormat="1" spans="1:4">
      <c r="A31" s="25">
        <v>27</v>
      </c>
      <c r="B31" t="s">
        <v>62</v>
      </c>
      <c r="C31" s="37"/>
      <c r="D31" s="38">
        <v>0</v>
      </c>
    </row>
    <row r="32" customFormat="1" spans="1:5">
      <c r="A32" s="25">
        <v>28</v>
      </c>
      <c r="B32" t="s">
        <v>63</v>
      </c>
      <c r="C32" s="19"/>
      <c r="D32" s="17">
        <v>0</v>
      </c>
      <c r="E32" s="35"/>
    </row>
    <row r="33" customFormat="1" spans="1:5">
      <c r="A33" s="25">
        <v>29</v>
      </c>
      <c r="B33" s="8" t="s">
        <v>45</v>
      </c>
      <c r="C33" s="32"/>
      <c r="D33" s="39" t="s">
        <v>35</v>
      </c>
      <c r="E33" s="8" t="s">
        <v>48</v>
      </c>
    </row>
    <row r="34" customFormat="1" spans="1:4">
      <c r="A34" s="25">
        <v>30</v>
      </c>
      <c r="B34" t="s">
        <v>64</v>
      </c>
      <c r="D34" s="26"/>
    </row>
    <row r="35" customFormat="1" spans="1:4">
      <c r="A35" s="25">
        <v>31</v>
      </c>
      <c r="B35" t="s">
        <v>65</v>
      </c>
      <c r="D35" s="26"/>
    </row>
    <row r="36" customFormat="1" spans="1:4">
      <c r="A36" s="25">
        <v>32</v>
      </c>
      <c r="B36" t="s">
        <v>66</v>
      </c>
      <c r="D36" s="26"/>
    </row>
    <row r="37" customFormat="1" spans="1:5">
      <c r="A37" s="25">
        <v>33</v>
      </c>
      <c r="B37" s="32" t="s">
        <v>67</v>
      </c>
      <c r="C37" s="32"/>
      <c r="D37" s="33">
        <f>SUM(D34:D36)</f>
        <v>0</v>
      </c>
      <c r="E37" s="32"/>
    </row>
    <row r="38" customFormat="1" spans="1:4">
      <c r="A38" s="25">
        <v>34</v>
      </c>
      <c r="B38" t="s">
        <v>68</v>
      </c>
      <c r="D38" s="26"/>
    </row>
    <row r="39" customFormat="1" spans="1:4">
      <c r="A39" s="25">
        <v>35</v>
      </c>
      <c r="B39" t="s">
        <v>69</v>
      </c>
      <c r="D39" s="26"/>
    </row>
    <row r="40" customFormat="1" spans="1:5">
      <c r="A40" s="25">
        <v>36</v>
      </c>
      <c r="B40" s="32" t="s">
        <v>70</v>
      </c>
      <c r="C40" s="32"/>
      <c r="D40" s="33">
        <f>SUM(D38:D39)</f>
        <v>0</v>
      </c>
      <c r="E40" s="32"/>
    </row>
    <row r="41" customFormat="1" spans="1:5">
      <c r="A41" s="25">
        <v>37</v>
      </c>
      <c r="B41" s="32" t="s">
        <v>71</v>
      </c>
      <c r="C41" s="32"/>
      <c r="D41" s="33">
        <f>D37-D40</f>
        <v>0</v>
      </c>
      <c r="E41" s="32"/>
    </row>
    <row r="42" spans="1:9">
      <c r="A42" s="25">
        <v>38</v>
      </c>
      <c r="B42" t="s">
        <v>72</v>
      </c>
      <c r="C42"/>
      <c r="D42"/>
      <c r="E42" s="17"/>
      <c r="F42" s="38"/>
      <c r="G42" s="38"/>
      <c r="H42" s="38"/>
      <c r="I42" s="38"/>
    </row>
    <row r="43" customFormat="1" spans="1:9">
      <c r="A43" s="25">
        <v>39</v>
      </c>
      <c r="B43" s="7" t="s">
        <v>73</v>
      </c>
      <c r="C43" s="34" t="s">
        <v>74</v>
      </c>
      <c r="D43" s="34" t="s">
        <v>75</v>
      </c>
      <c r="E43" s="32" t="s">
        <v>76</v>
      </c>
      <c r="G43" s="40"/>
      <c r="H43" s="40"/>
      <c r="I43" s="40"/>
    </row>
    <row r="44" spans="1:9">
      <c r="A44" s="25">
        <v>40</v>
      </c>
      <c r="B44" s="48"/>
      <c r="C44" s="49"/>
      <c r="D44" s="2"/>
      <c r="E44" s="19"/>
      <c r="F44" s="37"/>
      <c r="G44" s="44"/>
      <c r="H44" s="37"/>
      <c r="I44" s="37"/>
    </row>
    <row r="45" spans="1:9">
      <c r="A45" s="25">
        <v>41</v>
      </c>
      <c r="B45" s="48"/>
      <c r="C45" s="49"/>
      <c r="D45" s="2"/>
      <c r="E45" s="19"/>
      <c r="F45" s="37"/>
      <c r="G45" s="44"/>
      <c r="H45" s="37"/>
      <c r="I45" s="37"/>
    </row>
    <row r="46" spans="1:9">
      <c r="A46" s="25">
        <v>42</v>
      </c>
      <c r="B46" s="48"/>
      <c r="C46" s="49"/>
      <c r="D46" s="2"/>
      <c r="E46" s="19"/>
      <c r="F46" s="37"/>
      <c r="G46" s="44"/>
      <c r="H46" s="37"/>
      <c r="I46" s="37"/>
    </row>
    <row r="47" spans="1:9">
      <c r="A47" s="25">
        <v>43</v>
      </c>
      <c r="B47" s="48"/>
      <c r="C47" s="49"/>
      <c r="D47" s="2"/>
      <c r="E47" s="19"/>
      <c r="F47" s="37"/>
      <c r="G47" s="44"/>
      <c r="H47" s="37"/>
      <c r="I47" s="37"/>
    </row>
    <row r="48" spans="1:9">
      <c r="A48" s="25">
        <v>44</v>
      </c>
      <c r="B48" s="48"/>
      <c r="C48" s="49"/>
      <c r="D48" s="2"/>
      <c r="E48" s="19"/>
      <c r="F48" s="37"/>
      <c r="G48" s="44"/>
      <c r="H48" s="37"/>
      <c r="I48" s="37"/>
    </row>
    <row r="49" spans="1:9">
      <c r="A49" s="25">
        <v>45</v>
      </c>
      <c r="B49" s="48"/>
      <c r="C49" s="49"/>
      <c r="D49" s="2"/>
      <c r="E49" s="19"/>
      <c r="F49" s="37"/>
      <c r="G49" s="37"/>
      <c r="H49" s="37"/>
      <c r="I49" s="37"/>
    </row>
    <row r="50" spans="1:9">
      <c r="A50" s="25">
        <v>46</v>
      </c>
      <c r="B50" s="32" t="s">
        <v>77</v>
      </c>
      <c r="C50" s="50"/>
      <c r="D50" s="50"/>
      <c r="E50" s="52">
        <f>SUM(E44:E49)</f>
        <v>0</v>
      </c>
      <c r="F50" s="37"/>
      <c r="G50" s="37"/>
      <c r="H50" s="37"/>
      <c r="I50" s="37"/>
    </row>
  </sheetData>
  <printOptions gridLines="1"/>
  <pageMargins left="0.75" right="0.75" top="1" bottom="1" header="0.5" footer="0.5"/>
  <pageSetup paperSize="9" scale="8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view="pageBreakPreview" zoomScaleNormal="100" topLeftCell="A28" workbookViewId="0">
      <selection activeCell="A5" sqref="A5:A49"/>
    </sheetView>
  </sheetViews>
  <sheetFormatPr defaultColWidth="8.77777777777778" defaultRowHeight="12.75"/>
  <cols>
    <col min="1" max="1" width="5.33333333333333" style="1" customWidth="1"/>
    <col min="2" max="2" width="39.7777777777778" customWidth="1"/>
    <col min="3" max="4" width="12.7777777777778" style="17" customWidth="1"/>
    <col min="5" max="5" width="45" customWidth="1"/>
    <col min="6" max="6" width="10" customWidth="1"/>
  </cols>
  <sheetData>
    <row r="1" customFormat="1" spans="1:4">
      <c r="A1" s="1" t="s">
        <v>0</v>
      </c>
      <c r="C1" s="17"/>
      <c r="D1" s="17"/>
    </row>
    <row r="2" customFormat="1" spans="1:4">
      <c r="A2" s="1" t="s">
        <v>95</v>
      </c>
      <c r="B2" s="2"/>
      <c r="C2" s="17" t="s">
        <v>30</v>
      </c>
      <c r="D2" s="19" t="s">
        <v>31</v>
      </c>
    </row>
    <row r="3" customFormat="1" spans="1:8">
      <c r="A3" s="1" t="s">
        <v>32</v>
      </c>
      <c r="B3" s="2"/>
      <c r="C3" s="17" t="s">
        <v>2</v>
      </c>
      <c r="D3" s="90" t="s">
        <v>96</v>
      </c>
      <c r="G3" s="21"/>
      <c r="H3" s="22"/>
    </row>
    <row r="4" s="16" customFormat="1" spans="1:5">
      <c r="A4" s="23" t="s">
        <v>3</v>
      </c>
      <c r="B4" s="8" t="s">
        <v>33</v>
      </c>
      <c r="C4" s="24" t="s">
        <v>34</v>
      </c>
      <c r="D4" s="24" t="s">
        <v>35</v>
      </c>
      <c r="E4" s="14" t="s">
        <v>36</v>
      </c>
    </row>
    <row r="5" customFormat="1" spans="1:5">
      <c r="A5" s="25">
        <v>1</v>
      </c>
      <c r="B5" t="s">
        <v>37</v>
      </c>
      <c r="D5" s="26"/>
      <c r="E5" s="26"/>
    </row>
    <row r="6" customFormat="1" spans="1:5">
      <c r="A6" s="25">
        <v>2</v>
      </c>
      <c r="B6" t="s">
        <v>38</v>
      </c>
      <c r="D6" s="26"/>
      <c r="E6" s="26"/>
    </row>
    <row r="7" customFormat="1" spans="1:5">
      <c r="A7" s="25">
        <v>3</v>
      </c>
      <c r="B7" t="s">
        <v>39</v>
      </c>
      <c r="D7" s="26"/>
      <c r="E7" s="26"/>
    </row>
    <row r="8" customFormat="1" spans="1:5">
      <c r="A8" s="25">
        <v>4</v>
      </c>
      <c r="B8" t="s">
        <v>40</v>
      </c>
      <c r="D8" s="26"/>
      <c r="E8" s="26"/>
    </row>
    <row r="9" customFormat="1" spans="1:5">
      <c r="A9" s="25">
        <v>5</v>
      </c>
      <c r="B9" t="s">
        <v>41</v>
      </c>
      <c r="D9" s="26"/>
      <c r="E9" s="26"/>
    </row>
    <row r="10" customFormat="1" ht="34.05" customHeight="1" spans="1:5">
      <c r="A10" s="25">
        <v>6</v>
      </c>
      <c r="B10" t="s">
        <v>42</v>
      </c>
      <c r="D10" s="53">
        <f>1770+1180</f>
        <v>2950</v>
      </c>
      <c r="E10" s="54" t="s">
        <v>82</v>
      </c>
    </row>
    <row r="11" customFormat="1" spans="1:5">
      <c r="A11" s="25">
        <v>7</v>
      </c>
      <c r="B11" t="s">
        <v>42</v>
      </c>
      <c r="D11" s="26">
        <v>4455</v>
      </c>
      <c r="E11" s="26" t="s">
        <v>80</v>
      </c>
    </row>
    <row r="12" customFormat="1" spans="1:5">
      <c r="A12" s="25">
        <v>8</v>
      </c>
      <c r="B12" s="32" t="s">
        <v>44</v>
      </c>
      <c r="C12" s="32"/>
      <c r="D12" s="33">
        <f>SUM(D5:D11)</f>
        <v>7405</v>
      </c>
      <c r="E12" s="33"/>
    </row>
    <row r="13" ht="51" spans="1:6">
      <c r="A13" s="25">
        <v>9</v>
      </c>
      <c r="B13" s="7" t="s">
        <v>45</v>
      </c>
      <c r="C13" s="34" t="s">
        <v>46</v>
      </c>
      <c r="D13" s="34" t="s">
        <v>47</v>
      </c>
      <c r="E13" s="34" t="s">
        <v>48</v>
      </c>
      <c r="F13" s="16"/>
    </row>
    <row r="14" customFormat="1" spans="1:5">
      <c r="A14" s="25">
        <v>10</v>
      </c>
      <c r="B14" t="s">
        <v>49</v>
      </c>
      <c r="C14" s="19"/>
      <c r="D14" s="19">
        <v>0</v>
      </c>
      <c r="E14" s="2"/>
    </row>
    <row r="15" customFormat="1" spans="1:5">
      <c r="A15" s="25">
        <v>11</v>
      </c>
      <c r="B15" t="s">
        <v>50</v>
      </c>
      <c r="C15" s="17"/>
      <c r="D15" s="19">
        <v>779</v>
      </c>
      <c r="E15" s="2"/>
    </row>
    <row r="16" customFormat="1" spans="1:6">
      <c r="A16" s="25">
        <v>12</v>
      </c>
      <c r="B16" t="s">
        <v>51</v>
      </c>
      <c r="C16" s="17"/>
      <c r="D16" s="19">
        <f>D15-D14-D12</f>
        <v>-6626</v>
      </c>
      <c r="E16" s="35"/>
      <c r="F16" s="35"/>
    </row>
    <row r="17" customFormat="1" spans="1:5">
      <c r="A17" s="25">
        <v>13</v>
      </c>
      <c r="B17" t="s">
        <v>52</v>
      </c>
      <c r="C17" s="17"/>
      <c r="D17" s="19"/>
      <c r="E17" s="35"/>
    </row>
    <row r="18" customFormat="1" spans="1:5">
      <c r="A18" s="25">
        <v>14</v>
      </c>
      <c r="B18" t="s">
        <v>53</v>
      </c>
      <c r="C18" s="17"/>
      <c r="D18" s="17">
        <f>SUM(D16:D17)</f>
        <v>-6626</v>
      </c>
      <c r="E18" s="35"/>
    </row>
    <row r="19" customFormat="1" spans="1:5">
      <c r="A19" s="25">
        <v>15</v>
      </c>
      <c r="B19" s="32" t="s">
        <v>54</v>
      </c>
      <c r="C19" s="36"/>
      <c r="D19" s="36"/>
      <c r="E19" s="36"/>
    </row>
    <row r="20" customFormat="1" spans="1:5">
      <c r="A20" s="25">
        <v>16</v>
      </c>
      <c r="B20" t="s">
        <v>55</v>
      </c>
      <c r="C20" s="17"/>
      <c r="D20" s="17"/>
      <c r="E20" s="35"/>
    </row>
    <row r="21" customFormat="1" spans="1:4">
      <c r="A21" s="25">
        <v>17</v>
      </c>
      <c r="B21" t="s">
        <v>56</v>
      </c>
      <c r="C21" s="17"/>
      <c r="D21" s="17"/>
    </row>
    <row r="22" customFormat="1" spans="1:5">
      <c r="A22" s="25">
        <v>18</v>
      </c>
      <c r="B22" t="s">
        <v>57</v>
      </c>
      <c r="C22" s="17"/>
      <c r="D22" s="17"/>
      <c r="E22" s="35"/>
    </row>
    <row r="23" customFormat="1" spans="1:5">
      <c r="A23" s="25">
        <v>19</v>
      </c>
      <c r="B23" t="s">
        <v>57</v>
      </c>
      <c r="C23" s="17"/>
      <c r="D23" s="17"/>
      <c r="E23" s="35"/>
    </row>
    <row r="24" customFormat="1" spans="1:5">
      <c r="A24" s="25">
        <v>20</v>
      </c>
      <c r="B24" t="s">
        <v>57</v>
      </c>
      <c r="C24" s="17"/>
      <c r="D24" s="17"/>
      <c r="E24" s="35"/>
    </row>
    <row r="25" customFormat="1" spans="1:5">
      <c r="A25" s="25">
        <v>21</v>
      </c>
      <c r="B25" t="s">
        <v>57</v>
      </c>
      <c r="C25" s="17"/>
      <c r="D25" s="17"/>
      <c r="E25" s="35"/>
    </row>
    <row r="26" customFormat="1" spans="1:4">
      <c r="A26" s="25">
        <v>22</v>
      </c>
      <c r="B26" t="s">
        <v>58</v>
      </c>
      <c r="C26" s="17"/>
      <c r="D26" s="17"/>
    </row>
    <row r="27" customFormat="1" spans="1:4">
      <c r="A27" s="25">
        <v>23</v>
      </c>
      <c r="B27" t="s">
        <v>59</v>
      </c>
      <c r="C27" s="17"/>
      <c r="D27" s="17"/>
    </row>
    <row r="28" customFormat="1" spans="1:4">
      <c r="A28" s="25">
        <v>24</v>
      </c>
      <c r="B28" t="s">
        <v>60</v>
      </c>
      <c r="C28" s="17"/>
      <c r="D28" s="17">
        <f>SUM(D20:D25)-D26-D27</f>
        <v>0</v>
      </c>
    </row>
    <row r="29" customFormat="1" spans="1:5">
      <c r="A29" s="25">
        <v>25</v>
      </c>
      <c r="B29" s="32" t="s">
        <v>61</v>
      </c>
      <c r="C29" s="36"/>
      <c r="D29" s="36"/>
      <c r="E29" s="36"/>
    </row>
    <row r="30" customFormat="1" spans="1:4">
      <c r="A30" s="25">
        <v>26</v>
      </c>
      <c r="B30" t="s">
        <v>62</v>
      </c>
      <c r="C30" s="37"/>
      <c r="D30" s="38">
        <v>0</v>
      </c>
    </row>
    <row r="31" customFormat="1" spans="1:5">
      <c r="A31" s="25">
        <v>27</v>
      </c>
      <c r="B31" t="s">
        <v>63</v>
      </c>
      <c r="C31" s="19"/>
      <c r="D31" s="17">
        <v>0</v>
      </c>
      <c r="E31" s="35"/>
    </row>
    <row r="32" customFormat="1" spans="1:5">
      <c r="A32" s="25">
        <v>28</v>
      </c>
      <c r="B32" s="8" t="s">
        <v>45</v>
      </c>
      <c r="C32" s="32"/>
      <c r="D32" s="39" t="s">
        <v>35</v>
      </c>
      <c r="E32" s="8" t="s">
        <v>48</v>
      </c>
    </row>
    <row r="33" customFormat="1" spans="1:4">
      <c r="A33" s="25">
        <v>29</v>
      </c>
      <c r="B33" t="s">
        <v>64</v>
      </c>
      <c r="D33" s="26"/>
    </row>
    <row r="34" customFormat="1" spans="1:4">
      <c r="A34" s="25">
        <v>30</v>
      </c>
      <c r="B34" t="s">
        <v>65</v>
      </c>
      <c r="D34" s="26"/>
    </row>
    <row r="35" customFormat="1" spans="1:4">
      <c r="A35" s="25">
        <v>31</v>
      </c>
      <c r="B35" t="s">
        <v>66</v>
      </c>
      <c r="D35" s="26"/>
    </row>
    <row r="36" customFormat="1" spans="1:5">
      <c r="A36" s="25">
        <v>32</v>
      </c>
      <c r="B36" s="32" t="s">
        <v>67</v>
      </c>
      <c r="C36" s="32"/>
      <c r="D36" s="33">
        <f>SUM(D33:D35)</f>
        <v>0</v>
      </c>
      <c r="E36" s="32"/>
    </row>
    <row r="37" customFormat="1" spans="1:4">
      <c r="A37" s="25">
        <v>33</v>
      </c>
      <c r="B37" t="s">
        <v>68</v>
      </c>
      <c r="D37" s="26"/>
    </row>
    <row r="38" customFormat="1" spans="1:4">
      <c r="A38" s="25">
        <v>34</v>
      </c>
      <c r="B38" t="s">
        <v>69</v>
      </c>
      <c r="D38" s="26"/>
    </row>
    <row r="39" customFormat="1" spans="1:5">
      <c r="A39" s="25">
        <v>35</v>
      </c>
      <c r="B39" s="32" t="s">
        <v>70</v>
      </c>
      <c r="C39" s="32"/>
      <c r="D39" s="33">
        <f>SUM(D37:D38)</f>
        <v>0</v>
      </c>
      <c r="E39" s="32"/>
    </row>
    <row r="40" customFormat="1" spans="1:5">
      <c r="A40" s="25">
        <v>36</v>
      </c>
      <c r="B40" s="32" t="s">
        <v>71</v>
      </c>
      <c r="C40" s="32"/>
      <c r="D40" s="33">
        <f>D36-D39</f>
        <v>0</v>
      </c>
      <c r="E40" s="32"/>
    </row>
    <row r="41" spans="1:9">
      <c r="A41" s="25">
        <v>37</v>
      </c>
      <c r="B41" t="s">
        <v>72</v>
      </c>
      <c r="C41"/>
      <c r="D41"/>
      <c r="E41" s="17"/>
      <c r="F41" s="38"/>
      <c r="G41" s="38"/>
      <c r="H41" s="38"/>
      <c r="I41" s="38"/>
    </row>
    <row r="42" customFormat="1" spans="1:9">
      <c r="A42" s="25">
        <v>38</v>
      </c>
      <c r="B42" s="7" t="s">
        <v>73</v>
      </c>
      <c r="C42" s="34" t="s">
        <v>74</v>
      </c>
      <c r="D42" s="34" t="s">
        <v>75</v>
      </c>
      <c r="E42" s="32" t="s">
        <v>76</v>
      </c>
      <c r="G42" s="40"/>
      <c r="H42" s="40"/>
      <c r="I42" s="40"/>
    </row>
    <row r="43" spans="1:9">
      <c r="A43" s="25">
        <v>39</v>
      </c>
      <c r="B43" s="48"/>
      <c r="C43" s="49"/>
      <c r="D43" s="2"/>
      <c r="E43" s="19"/>
      <c r="F43" s="37"/>
      <c r="G43" s="44"/>
      <c r="H43" s="37"/>
      <c r="I43" s="37"/>
    </row>
    <row r="44" spans="1:9">
      <c r="A44" s="25">
        <v>40</v>
      </c>
      <c r="B44" s="48"/>
      <c r="C44" s="49"/>
      <c r="D44" s="2"/>
      <c r="E44" s="19"/>
      <c r="F44" s="37"/>
      <c r="G44" s="44"/>
      <c r="H44" s="37"/>
      <c r="I44" s="37"/>
    </row>
    <row r="45" spans="1:9">
      <c r="A45" s="25">
        <v>41</v>
      </c>
      <c r="B45" s="48"/>
      <c r="C45" s="49"/>
      <c r="D45" s="2"/>
      <c r="E45" s="19"/>
      <c r="F45" s="37"/>
      <c r="G45" s="44"/>
      <c r="H45" s="37"/>
      <c r="I45" s="37"/>
    </row>
    <row r="46" spans="1:9">
      <c r="A46" s="25">
        <v>42</v>
      </c>
      <c r="B46" s="48"/>
      <c r="C46" s="49"/>
      <c r="D46" s="2"/>
      <c r="E46" s="19"/>
      <c r="F46" s="37"/>
      <c r="G46" s="44"/>
      <c r="H46" s="37"/>
      <c r="I46" s="37"/>
    </row>
    <row r="47" spans="1:9">
      <c r="A47" s="25">
        <v>43</v>
      </c>
      <c r="B47" s="48"/>
      <c r="C47" s="49"/>
      <c r="D47" s="2"/>
      <c r="E47" s="19"/>
      <c r="F47" s="37"/>
      <c r="G47" s="44"/>
      <c r="H47" s="37"/>
      <c r="I47" s="37"/>
    </row>
    <row r="48" spans="1:9">
      <c r="A48" s="25">
        <v>44</v>
      </c>
      <c r="B48" s="48"/>
      <c r="C48" s="49"/>
      <c r="D48" s="2"/>
      <c r="E48" s="19"/>
      <c r="F48" s="37"/>
      <c r="G48" s="37"/>
      <c r="H48" s="37"/>
      <c r="I48" s="37"/>
    </row>
    <row r="49" spans="1:9">
      <c r="A49" s="25">
        <v>45</v>
      </c>
      <c r="B49" s="32" t="s">
        <v>77</v>
      </c>
      <c r="C49" s="50"/>
      <c r="D49" s="50"/>
      <c r="E49" s="52">
        <f>SUM(E43:E48)</f>
        <v>0</v>
      </c>
      <c r="F49" s="37"/>
      <c r="G49" s="37"/>
      <c r="H49" s="37"/>
      <c r="I49" s="37"/>
    </row>
  </sheetData>
  <printOptions gridLines="1"/>
  <pageMargins left="0.75" right="0.75" top="1" bottom="1" header="0.5" footer="0.5"/>
  <pageSetup paperSize="9" scale="83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view="pageBreakPreview" zoomScaleNormal="100" topLeftCell="A27" workbookViewId="0">
      <selection activeCell="I46" sqref="I46"/>
    </sheetView>
  </sheetViews>
  <sheetFormatPr defaultColWidth="8.77777777777778" defaultRowHeight="12.75"/>
  <cols>
    <col min="1" max="1" width="5.33333333333333" style="1" customWidth="1"/>
    <col min="2" max="2" width="39.7777777777778" customWidth="1"/>
    <col min="3" max="4" width="12.7777777777778" style="17" customWidth="1"/>
    <col min="5" max="5" width="42.2222222222222" customWidth="1"/>
    <col min="6" max="6" width="10" customWidth="1"/>
  </cols>
  <sheetData>
    <row r="1" customFormat="1" spans="1:4">
      <c r="A1" s="1" t="s">
        <v>0</v>
      </c>
      <c r="C1" s="17"/>
      <c r="D1" s="17"/>
    </row>
    <row r="2" customFormat="1" spans="1:4">
      <c r="A2" s="1" t="s">
        <v>97</v>
      </c>
      <c r="B2" s="2"/>
      <c r="C2" s="17" t="s">
        <v>30</v>
      </c>
      <c r="D2" s="19" t="s">
        <v>31</v>
      </c>
    </row>
    <row r="3" customFormat="1" spans="1:8">
      <c r="A3" s="1" t="s">
        <v>32</v>
      </c>
      <c r="B3" s="2"/>
      <c r="C3" s="17" t="s">
        <v>2</v>
      </c>
      <c r="D3" s="90" t="s">
        <v>96</v>
      </c>
      <c r="G3" s="21"/>
      <c r="H3" s="22"/>
    </row>
    <row r="4" s="16" customFormat="1" spans="1:5">
      <c r="A4" s="23" t="s">
        <v>3</v>
      </c>
      <c r="B4" s="8" t="s">
        <v>33</v>
      </c>
      <c r="C4" s="24" t="s">
        <v>34</v>
      </c>
      <c r="D4" s="24" t="s">
        <v>35</v>
      </c>
      <c r="E4" s="14" t="s">
        <v>36</v>
      </c>
    </row>
    <row r="5" customFormat="1" spans="1:5">
      <c r="A5" s="25">
        <v>1</v>
      </c>
      <c r="B5" t="s">
        <v>37</v>
      </c>
      <c r="D5" s="26"/>
      <c r="E5" s="26"/>
    </row>
    <row r="6" customFormat="1" spans="1:5">
      <c r="A6" s="25">
        <v>2</v>
      </c>
      <c r="B6" t="s">
        <v>38</v>
      </c>
      <c r="D6" s="26"/>
      <c r="E6" s="26"/>
    </row>
    <row r="7" customFormat="1" spans="1:5">
      <c r="A7" s="25">
        <v>3</v>
      </c>
      <c r="B7" t="s">
        <v>39</v>
      </c>
      <c r="D7" s="26"/>
      <c r="E7" s="26"/>
    </row>
    <row r="8" customFormat="1" spans="1:5">
      <c r="A8" s="25">
        <v>4</v>
      </c>
      <c r="B8" t="s">
        <v>40</v>
      </c>
      <c r="D8" s="26"/>
      <c r="E8" s="26"/>
    </row>
    <row r="9" customFormat="1" spans="1:5">
      <c r="A9" s="25">
        <v>5</v>
      </c>
      <c r="B9" t="s">
        <v>41</v>
      </c>
      <c r="D9" s="26"/>
      <c r="E9" s="26"/>
    </row>
    <row r="10" customFormat="1" ht="34.05" customHeight="1" spans="1:5">
      <c r="A10" s="25">
        <v>6</v>
      </c>
      <c r="B10" t="s">
        <v>42</v>
      </c>
      <c r="D10" s="26">
        <f>1180</f>
        <v>1180</v>
      </c>
      <c r="E10" s="56" t="s">
        <v>82</v>
      </c>
    </row>
    <row r="11" customFormat="1" spans="1:5">
      <c r="A11" s="25">
        <v>7</v>
      </c>
      <c r="B11" t="s">
        <v>42</v>
      </c>
      <c r="D11" s="26"/>
      <c r="E11" s="26"/>
    </row>
    <row r="12" customFormat="1" spans="1:5">
      <c r="A12" s="25">
        <v>8</v>
      </c>
      <c r="B12" s="32" t="s">
        <v>44</v>
      </c>
      <c r="C12" s="32"/>
      <c r="D12" s="33">
        <f>SUM(D5:D11)</f>
        <v>1180</v>
      </c>
      <c r="E12" s="33"/>
    </row>
    <row r="13" ht="51" spans="1:6">
      <c r="A13" s="25">
        <v>9</v>
      </c>
      <c r="B13" s="7" t="s">
        <v>45</v>
      </c>
      <c r="C13" s="34" t="s">
        <v>46</v>
      </c>
      <c r="D13" s="34" t="s">
        <v>47</v>
      </c>
      <c r="E13" s="34" t="s">
        <v>48</v>
      </c>
      <c r="F13" s="16"/>
    </row>
    <row r="14" customFormat="1" spans="1:5">
      <c r="A14" s="25">
        <v>10</v>
      </c>
      <c r="B14" t="s">
        <v>49</v>
      </c>
      <c r="C14" s="19"/>
      <c r="D14" s="19">
        <v>0</v>
      </c>
      <c r="E14" s="2"/>
    </row>
    <row r="15" customFormat="1" spans="1:5">
      <c r="A15" s="25">
        <v>11</v>
      </c>
      <c r="B15" t="s">
        <v>50</v>
      </c>
      <c r="C15" s="17"/>
      <c r="D15" s="19">
        <v>76759</v>
      </c>
      <c r="E15" s="2"/>
    </row>
    <row r="16" customFormat="1" spans="1:6">
      <c r="A16" s="25">
        <v>12</v>
      </c>
      <c r="B16" t="s">
        <v>51</v>
      </c>
      <c r="C16" s="17"/>
      <c r="D16" s="19">
        <f>D15-D14-D12</f>
        <v>75579</v>
      </c>
      <c r="E16" s="35"/>
      <c r="F16" s="35"/>
    </row>
    <row r="17" customFormat="1" spans="1:5">
      <c r="A17" s="25">
        <v>13</v>
      </c>
      <c r="B17" t="s">
        <v>52</v>
      </c>
      <c r="C17" s="17"/>
      <c r="D17" s="19"/>
      <c r="E17" s="35"/>
    </row>
    <row r="18" customFormat="1" spans="1:5">
      <c r="A18" s="25">
        <v>14</v>
      </c>
      <c r="B18" t="s">
        <v>53</v>
      </c>
      <c r="C18" s="17"/>
      <c r="D18" s="17">
        <f>SUM(D16:D17)</f>
        <v>75579</v>
      </c>
      <c r="E18" s="35"/>
    </row>
    <row r="19" customFormat="1" spans="1:5">
      <c r="A19" s="25">
        <v>15</v>
      </c>
      <c r="B19" s="32" t="s">
        <v>54</v>
      </c>
      <c r="C19" s="36"/>
      <c r="D19" s="36"/>
      <c r="E19" s="36"/>
    </row>
    <row r="20" customFormat="1" spans="1:5">
      <c r="A20" s="25">
        <v>16</v>
      </c>
      <c r="B20" t="s">
        <v>55</v>
      </c>
      <c r="C20" s="17"/>
      <c r="D20" s="17"/>
      <c r="E20" s="35"/>
    </row>
    <row r="21" customFormat="1" spans="1:4">
      <c r="A21" s="25">
        <v>17</v>
      </c>
      <c r="B21" t="s">
        <v>56</v>
      </c>
      <c r="C21" s="17"/>
      <c r="D21" s="17"/>
    </row>
    <row r="22" customFormat="1" spans="1:5">
      <c r="A22" s="25">
        <v>18</v>
      </c>
      <c r="B22" t="s">
        <v>57</v>
      </c>
      <c r="C22" s="17"/>
      <c r="D22" s="17"/>
      <c r="E22" s="35"/>
    </row>
    <row r="23" customFormat="1" spans="1:5">
      <c r="A23" s="25">
        <v>19</v>
      </c>
      <c r="B23" t="s">
        <v>57</v>
      </c>
      <c r="C23" s="17"/>
      <c r="D23" s="17"/>
      <c r="E23" s="35"/>
    </row>
    <row r="24" customFormat="1" spans="1:5">
      <c r="A24" s="25">
        <v>20</v>
      </c>
      <c r="B24" t="s">
        <v>57</v>
      </c>
      <c r="C24" s="17"/>
      <c r="D24" s="17"/>
      <c r="E24" s="35"/>
    </row>
    <row r="25" customFormat="1" spans="1:5">
      <c r="A25" s="25">
        <v>21</v>
      </c>
      <c r="B25" t="s">
        <v>57</v>
      </c>
      <c r="C25" s="17"/>
      <c r="D25" s="17"/>
      <c r="E25" s="35"/>
    </row>
    <row r="26" customFormat="1" spans="1:4">
      <c r="A26" s="25">
        <v>22</v>
      </c>
      <c r="B26" t="s">
        <v>58</v>
      </c>
      <c r="C26" s="17"/>
      <c r="D26" s="17"/>
    </row>
    <row r="27" customFormat="1" spans="1:4">
      <c r="A27" s="25">
        <v>23</v>
      </c>
      <c r="B27" t="s">
        <v>59</v>
      </c>
      <c r="C27" s="17"/>
      <c r="D27" s="17"/>
    </row>
    <row r="28" customFormat="1" spans="1:4">
      <c r="A28" s="25">
        <v>24</v>
      </c>
      <c r="B28" t="s">
        <v>60</v>
      </c>
      <c r="C28" s="17"/>
      <c r="D28" s="17">
        <f>SUM(D20:D25)-D26-D27</f>
        <v>0</v>
      </c>
    </row>
    <row r="29" customFormat="1" spans="1:5">
      <c r="A29" s="25">
        <v>25</v>
      </c>
      <c r="B29" s="32" t="s">
        <v>61</v>
      </c>
      <c r="C29" s="36"/>
      <c r="D29" s="36"/>
      <c r="E29" s="36"/>
    </row>
    <row r="30" customFormat="1" spans="1:4">
      <c r="A30" s="25">
        <v>26</v>
      </c>
      <c r="B30" t="s">
        <v>62</v>
      </c>
      <c r="C30" s="37"/>
      <c r="D30" s="38">
        <v>0</v>
      </c>
    </row>
    <row r="31" customFormat="1" spans="1:5">
      <c r="A31" s="25">
        <v>27</v>
      </c>
      <c r="B31" t="s">
        <v>63</v>
      </c>
      <c r="C31" s="19"/>
      <c r="D31" s="17">
        <v>0</v>
      </c>
      <c r="E31" s="35"/>
    </row>
    <row r="32" customFormat="1" spans="1:5">
      <c r="A32" s="25">
        <v>28</v>
      </c>
      <c r="B32" s="8" t="s">
        <v>45</v>
      </c>
      <c r="C32" s="32"/>
      <c r="D32" s="39" t="s">
        <v>35</v>
      </c>
      <c r="E32" s="8" t="s">
        <v>48</v>
      </c>
    </row>
    <row r="33" customFormat="1" spans="1:4">
      <c r="A33" s="25">
        <v>29</v>
      </c>
      <c r="B33" t="s">
        <v>64</v>
      </c>
      <c r="D33" s="26"/>
    </row>
    <row r="34" customFormat="1" spans="1:4">
      <c r="A34" s="25">
        <v>30</v>
      </c>
      <c r="B34" t="s">
        <v>65</v>
      </c>
      <c r="D34" s="26"/>
    </row>
    <row r="35" customFormat="1" spans="1:4">
      <c r="A35" s="25">
        <v>31</v>
      </c>
      <c r="B35" t="s">
        <v>66</v>
      </c>
      <c r="D35" s="26"/>
    </row>
    <row r="36" customFormat="1" spans="1:5">
      <c r="A36" s="25">
        <v>32</v>
      </c>
      <c r="B36" s="32" t="s">
        <v>67</v>
      </c>
      <c r="C36" s="32"/>
      <c r="D36" s="33">
        <f>SUM(D33:D35)</f>
        <v>0</v>
      </c>
      <c r="E36" s="32"/>
    </row>
    <row r="37" customFormat="1" spans="1:4">
      <c r="A37" s="25">
        <v>33</v>
      </c>
      <c r="B37" t="s">
        <v>68</v>
      </c>
      <c r="D37" s="26"/>
    </row>
    <row r="38" customFormat="1" spans="1:4">
      <c r="A38" s="25">
        <v>34</v>
      </c>
      <c r="B38" t="s">
        <v>69</v>
      </c>
      <c r="D38" s="26"/>
    </row>
    <row r="39" customFormat="1" spans="1:5">
      <c r="A39" s="25">
        <v>35</v>
      </c>
      <c r="B39" s="32" t="s">
        <v>70</v>
      </c>
      <c r="C39" s="32"/>
      <c r="D39" s="33">
        <f>SUM(D37:D38)</f>
        <v>0</v>
      </c>
      <c r="E39" s="32"/>
    </row>
    <row r="40" customFormat="1" spans="1:5">
      <c r="A40" s="25">
        <v>36</v>
      </c>
      <c r="B40" s="32" t="s">
        <v>71</v>
      </c>
      <c r="C40" s="32"/>
      <c r="D40" s="33">
        <f>D36-D39</f>
        <v>0</v>
      </c>
      <c r="E40" s="32"/>
    </row>
    <row r="41" spans="1:9">
      <c r="A41" s="25">
        <v>37</v>
      </c>
      <c r="B41" t="s">
        <v>72</v>
      </c>
      <c r="C41"/>
      <c r="D41"/>
      <c r="E41" s="17"/>
      <c r="F41" s="38"/>
      <c r="G41" s="38"/>
      <c r="H41" s="38"/>
      <c r="I41" s="38"/>
    </row>
    <row r="42" customFormat="1" spans="1:9">
      <c r="A42" s="25">
        <v>38</v>
      </c>
      <c r="B42" s="7" t="s">
        <v>73</v>
      </c>
      <c r="C42" s="34" t="s">
        <v>74</v>
      </c>
      <c r="D42" s="34" t="s">
        <v>75</v>
      </c>
      <c r="E42" s="32" t="s">
        <v>76</v>
      </c>
      <c r="G42" s="40"/>
      <c r="H42" s="40"/>
      <c r="I42" s="40"/>
    </row>
    <row r="43" spans="1:9">
      <c r="A43" s="25">
        <v>39</v>
      </c>
      <c r="B43" s="48"/>
      <c r="C43" s="49"/>
      <c r="D43" s="2"/>
      <c r="E43" s="19"/>
      <c r="F43" s="37"/>
      <c r="G43" s="44"/>
      <c r="H43" s="37"/>
      <c r="I43" s="37"/>
    </row>
    <row r="44" spans="1:9">
      <c r="A44" s="25">
        <v>40</v>
      </c>
      <c r="B44" s="48"/>
      <c r="C44" s="49"/>
      <c r="D44" s="2"/>
      <c r="E44" s="19"/>
      <c r="F44" s="37"/>
      <c r="G44" s="44"/>
      <c r="H44" s="37"/>
      <c r="I44" s="37"/>
    </row>
    <row r="45" spans="1:9">
      <c r="A45" s="25">
        <v>41</v>
      </c>
      <c r="B45" s="48"/>
      <c r="C45" s="49"/>
      <c r="D45" s="2"/>
      <c r="E45" s="19"/>
      <c r="F45" s="37"/>
      <c r="G45" s="44"/>
      <c r="H45" s="37"/>
      <c r="I45" s="37"/>
    </row>
    <row r="46" spans="1:9">
      <c r="A46" s="25">
        <v>42</v>
      </c>
      <c r="B46" s="48"/>
      <c r="C46" s="49"/>
      <c r="D46" s="2"/>
      <c r="E46" s="19"/>
      <c r="F46" s="37"/>
      <c r="G46" s="44"/>
      <c r="H46" s="37"/>
      <c r="I46" s="37"/>
    </row>
    <row r="47" spans="1:9">
      <c r="A47" s="25">
        <v>43</v>
      </c>
      <c r="B47" s="48"/>
      <c r="C47" s="49"/>
      <c r="D47" s="2"/>
      <c r="E47" s="19"/>
      <c r="F47" s="37"/>
      <c r="G47" s="44"/>
      <c r="H47" s="37"/>
      <c r="I47" s="37"/>
    </row>
    <row r="48" spans="1:9">
      <c r="A48" s="25">
        <v>44</v>
      </c>
      <c r="B48" s="48"/>
      <c r="C48" s="49"/>
      <c r="D48" s="2"/>
      <c r="E48" s="19"/>
      <c r="F48" s="37"/>
      <c r="G48" s="37"/>
      <c r="H48" s="37"/>
      <c r="I48" s="37"/>
    </row>
    <row r="49" spans="1:9">
      <c r="A49" s="25">
        <v>45</v>
      </c>
      <c r="B49" s="32" t="s">
        <v>77</v>
      </c>
      <c r="C49" s="50"/>
      <c r="D49" s="50"/>
      <c r="E49" s="52">
        <f>SUM(E43:E48)</f>
        <v>0</v>
      </c>
      <c r="F49" s="37"/>
      <c r="G49" s="37"/>
      <c r="H49" s="37"/>
      <c r="I49" s="37"/>
    </row>
  </sheetData>
  <printOptions gridLines="1"/>
  <pageMargins left="0.75" right="0.75" top="1" bottom="1" header="0.5" footer="0.5"/>
  <pageSetup paperSize="9" scale="85" orientation="portrait"/>
  <headerFooter/>
  <colBreaks count="1" manualBreakCount="1">
    <brk id="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view="pageBreakPreview" zoomScaleNormal="100" topLeftCell="A29" workbookViewId="0">
      <selection activeCell="A5" sqref="A5:A49"/>
    </sheetView>
  </sheetViews>
  <sheetFormatPr defaultColWidth="8.77777777777778" defaultRowHeight="12.75"/>
  <cols>
    <col min="1" max="1" width="5.33333333333333" style="1" customWidth="1"/>
    <col min="2" max="2" width="39.7777777777778" customWidth="1"/>
    <col min="3" max="4" width="12.7777777777778" style="17" customWidth="1"/>
    <col min="5" max="5" width="42.7777777777778" customWidth="1"/>
    <col min="6" max="6" width="10" customWidth="1"/>
  </cols>
  <sheetData>
    <row r="1" customFormat="1" spans="1:4">
      <c r="A1" s="1" t="s">
        <v>0</v>
      </c>
      <c r="C1" s="17"/>
      <c r="D1" s="17"/>
    </row>
    <row r="2" customFormat="1" spans="1:4">
      <c r="A2" s="1" t="s">
        <v>98</v>
      </c>
      <c r="B2" s="2"/>
      <c r="C2" s="17" t="s">
        <v>30</v>
      </c>
      <c r="D2" s="19" t="s">
        <v>31</v>
      </c>
    </row>
    <row r="3" customFormat="1" spans="1:8">
      <c r="A3" s="1" t="s">
        <v>32</v>
      </c>
      <c r="B3" s="2"/>
      <c r="C3" s="17" t="s">
        <v>2</v>
      </c>
      <c r="D3" s="55">
        <v>45989</v>
      </c>
      <c r="G3" s="21"/>
      <c r="H3" s="22"/>
    </row>
    <row r="4" s="16" customFormat="1" spans="1:5">
      <c r="A4" s="23" t="s">
        <v>3</v>
      </c>
      <c r="B4" s="8" t="s">
        <v>33</v>
      </c>
      <c r="C4" s="24" t="s">
        <v>34</v>
      </c>
      <c r="D4" s="24" t="s">
        <v>35</v>
      </c>
      <c r="E4" s="14" t="s">
        <v>36</v>
      </c>
    </row>
    <row r="5" customFormat="1" spans="1:5">
      <c r="A5" s="25">
        <v>1</v>
      </c>
      <c r="B5" t="s">
        <v>37</v>
      </c>
      <c r="D5" s="26"/>
      <c r="E5" s="26"/>
    </row>
    <row r="6" customFormat="1" spans="1:5">
      <c r="A6" s="25">
        <v>2</v>
      </c>
      <c r="B6" t="s">
        <v>38</v>
      </c>
      <c r="D6" s="26"/>
      <c r="E6" s="26"/>
    </row>
    <row r="7" customFormat="1" spans="1:5">
      <c r="A7" s="25">
        <v>3</v>
      </c>
      <c r="B7" t="s">
        <v>39</v>
      </c>
      <c r="D7" s="26"/>
      <c r="E7" s="26"/>
    </row>
    <row r="8" customFormat="1" spans="1:5">
      <c r="A8" s="25">
        <v>4</v>
      </c>
      <c r="B8" t="s">
        <v>40</v>
      </c>
      <c r="D8" s="26"/>
      <c r="E8" s="26"/>
    </row>
    <row r="9" customFormat="1" spans="1:5">
      <c r="A9" s="25">
        <v>5</v>
      </c>
      <c r="B9" t="s">
        <v>41</v>
      </c>
      <c r="D9" s="26"/>
      <c r="E9" s="26"/>
    </row>
    <row r="10" customFormat="1" ht="34.05" customHeight="1" spans="1:5">
      <c r="A10" s="25">
        <v>6</v>
      </c>
      <c r="B10" t="s">
        <v>42</v>
      </c>
      <c r="D10" s="53">
        <v>1180</v>
      </c>
      <c r="E10" s="54" t="s">
        <v>99</v>
      </c>
    </row>
    <row r="11" customFormat="1" spans="1:5">
      <c r="A11" s="25">
        <v>7</v>
      </c>
      <c r="B11" t="s">
        <v>42</v>
      </c>
      <c r="D11" s="26"/>
      <c r="E11" s="26"/>
    </row>
    <row r="12" customFormat="1" spans="1:5">
      <c r="A12" s="25">
        <v>8</v>
      </c>
      <c r="B12" s="32" t="s">
        <v>44</v>
      </c>
      <c r="C12" s="32"/>
      <c r="D12" s="33">
        <f>SUM(D5:D11)</f>
        <v>1180</v>
      </c>
      <c r="E12" s="33"/>
    </row>
    <row r="13" ht="51" spans="1:6">
      <c r="A13" s="25">
        <v>9</v>
      </c>
      <c r="B13" s="7" t="s">
        <v>45</v>
      </c>
      <c r="C13" s="34" t="s">
        <v>46</v>
      </c>
      <c r="D13" s="34" t="s">
        <v>47</v>
      </c>
      <c r="E13" s="34" t="s">
        <v>48</v>
      </c>
      <c r="F13" s="16"/>
    </row>
    <row r="14" customFormat="1" spans="1:5">
      <c r="A14" s="25">
        <v>10</v>
      </c>
      <c r="B14" t="s">
        <v>49</v>
      </c>
      <c r="C14" s="19"/>
      <c r="D14" s="19">
        <v>0</v>
      </c>
      <c r="E14" s="2"/>
    </row>
    <row r="15" customFormat="1" spans="1:5">
      <c r="A15" s="25">
        <v>11</v>
      </c>
      <c r="B15" t="s">
        <v>50</v>
      </c>
      <c r="C15" s="17"/>
      <c r="D15" s="19">
        <v>8140</v>
      </c>
      <c r="E15" s="2"/>
    </row>
    <row r="16" customFormat="1" spans="1:6">
      <c r="A16" s="25">
        <v>12</v>
      </c>
      <c r="B16" t="s">
        <v>51</v>
      </c>
      <c r="C16" s="17"/>
      <c r="D16" s="19">
        <f>D15-D14-D12</f>
        <v>6960</v>
      </c>
      <c r="E16" s="35"/>
      <c r="F16" s="35"/>
    </row>
    <row r="17" customFormat="1" spans="1:5">
      <c r="A17" s="25">
        <v>13</v>
      </c>
      <c r="B17" t="s">
        <v>52</v>
      </c>
      <c r="C17" s="17"/>
      <c r="D17" s="19"/>
      <c r="E17" s="35"/>
    </row>
    <row r="18" customFormat="1" spans="1:5">
      <c r="A18" s="25">
        <v>14</v>
      </c>
      <c r="B18" t="s">
        <v>53</v>
      </c>
      <c r="C18" s="17"/>
      <c r="D18" s="17">
        <f>SUM(D16:D17)</f>
        <v>6960</v>
      </c>
      <c r="E18" s="35"/>
    </row>
    <row r="19" customFormat="1" spans="1:5">
      <c r="A19" s="25">
        <v>15</v>
      </c>
      <c r="B19" s="32" t="s">
        <v>54</v>
      </c>
      <c r="C19" s="36"/>
      <c r="D19" s="36"/>
      <c r="E19" s="36"/>
    </row>
    <row r="20" customFormat="1" spans="1:5">
      <c r="A20" s="25">
        <v>16</v>
      </c>
      <c r="B20" t="s">
        <v>55</v>
      </c>
      <c r="C20" s="17"/>
      <c r="D20" s="17"/>
      <c r="E20" s="35"/>
    </row>
    <row r="21" customFormat="1" spans="1:4">
      <c r="A21" s="25">
        <v>17</v>
      </c>
      <c r="B21" t="s">
        <v>56</v>
      </c>
      <c r="C21" s="17"/>
      <c r="D21" s="17"/>
    </row>
    <row r="22" customFormat="1" spans="1:5">
      <c r="A22" s="25">
        <v>18</v>
      </c>
      <c r="B22" t="s">
        <v>57</v>
      </c>
      <c r="C22" s="17"/>
      <c r="D22" s="17"/>
      <c r="E22" s="35"/>
    </row>
    <row r="23" customFormat="1" spans="1:5">
      <c r="A23" s="25">
        <v>19</v>
      </c>
      <c r="B23" t="s">
        <v>57</v>
      </c>
      <c r="C23" s="17"/>
      <c r="D23" s="17"/>
      <c r="E23" s="35"/>
    </row>
    <row r="24" customFormat="1" spans="1:5">
      <c r="A24" s="25">
        <v>20</v>
      </c>
      <c r="B24" t="s">
        <v>57</v>
      </c>
      <c r="C24" s="17"/>
      <c r="D24" s="17"/>
      <c r="E24" s="35"/>
    </row>
    <row r="25" customFormat="1" spans="1:5">
      <c r="A25" s="25">
        <v>21</v>
      </c>
      <c r="B25" t="s">
        <v>57</v>
      </c>
      <c r="C25" s="17"/>
      <c r="D25" s="17"/>
      <c r="E25" s="35"/>
    </row>
    <row r="26" customFormat="1" spans="1:4">
      <c r="A26" s="25">
        <v>22</v>
      </c>
      <c r="B26" t="s">
        <v>58</v>
      </c>
      <c r="C26" s="17"/>
      <c r="D26" s="17"/>
    </row>
    <row r="27" customFormat="1" spans="1:4">
      <c r="A27" s="25">
        <v>23</v>
      </c>
      <c r="B27" t="s">
        <v>59</v>
      </c>
      <c r="C27" s="17"/>
      <c r="D27" s="17"/>
    </row>
    <row r="28" customFormat="1" spans="1:4">
      <c r="A28" s="25">
        <v>24</v>
      </c>
      <c r="B28" t="s">
        <v>60</v>
      </c>
      <c r="C28" s="17"/>
      <c r="D28" s="17">
        <f>SUM(D20:D25)-D26-D27</f>
        <v>0</v>
      </c>
    </row>
    <row r="29" customFormat="1" spans="1:5">
      <c r="A29" s="25">
        <v>25</v>
      </c>
      <c r="B29" s="32" t="s">
        <v>61</v>
      </c>
      <c r="C29" s="36"/>
      <c r="D29" s="36"/>
      <c r="E29" s="36"/>
    </row>
    <row r="30" customFormat="1" spans="1:4">
      <c r="A30" s="25">
        <v>26</v>
      </c>
      <c r="B30" t="s">
        <v>62</v>
      </c>
      <c r="C30" s="37"/>
      <c r="D30" s="38">
        <v>0</v>
      </c>
    </row>
    <row r="31" customFormat="1" spans="1:5">
      <c r="A31" s="25">
        <v>27</v>
      </c>
      <c r="B31" t="s">
        <v>63</v>
      </c>
      <c r="C31" s="19"/>
      <c r="D31" s="17">
        <v>0</v>
      </c>
      <c r="E31" s="35"/>
    </row>
    <row r="32" customFormat="1" spans="1:5">
      <c r="A32" s="25">
        <v>28</v>
      </c>
      <c r="B32" s="8" t="s">
        <v>45</v>
      </c>
      <c r="C32" s="32"/>
      <c r="D32" s="39" t="s">
        <v>35</v>
      </c>
      <c r="E32" s="8" t="s">
        <v>48</v>
      </c>
    </row>
    <row r="33" customFormat="1" spans="1:4">
      <c r="A33" s="25">
        <v>29</v>
      </c>
      <c r="B33" t="s">
        <v>64</v>
      </c>
      <c r="D33" s="26"/>
    </row>
    <row r="34" customFormat="1" spans="1:4">
      <c r="A34" s="25">
        <v>30</v>
      </c>
      <c r="B34" t="s">
        <v>65</v>
      </c>
      <c r="D34" s="26"/>
    </row>
    <row r="35" customFormat="1" spans="1:4">
      <c r="A35" s="25">
        <v>31</v>
      </c>
      <c r="B35" t="s">
        <v>66</v>
      </c>
      <c r="D35" s="26"/>
    </row>
    <row r="36" customFormat="1" spans="1:5">
      <c r="A36" s="25">
        <v>32</v>
      </c>
      <c r="B36" s="32" t="s">
        <v>67</v>
      </c>
      <c r="C36" s="32"/>
      <c r="D36" s="33">
        <f>SUM(D33:D35)</f>
        <v>0</v>
      </c>
      <c r="E36" s="32"/>
    </row>
    <row r="37" customFormat="1" spans="1:4">
      <c r="A37" s="25">
        <v>33</v>
      </c>
      <c r="B37" t="s">
        <v>68</v>
      </c>
      <c r="D37" s="26"/>
    </row>
    <row r="38" customFormat="1" spans="1:4">
      <c r="A38" s="25">
        <v>34</v>
      </c>
      <c r="B38" t="s">
        <v>69</v>
      </c>
      <c r="D38" s="26"/>
    </row>
    <row r="39" customFormat="1" spans="1:5">
      <c r="A39" s="25">
        <v>35</v>
      </c>
      <c r="B39" s="32" t="s">
        <v>70</v>
      </c>
      <c r="C39" s="32"/>
      <c r="D39" s="33">
        <f>SUM(D37:D38)</f>
        <v>0</v>
      </c>
      <c r="E39" s="32"/>
    </row>
    <row r="40" customFormat="1" spans="1:5">
      <c r="A40" s="25">
        <v>36</v>
      </c>
      <c r="B40" s="32" t="s">
        <v>71</v>
      </c>
      <c r="C40" s="32"/>
      <c r="D40" s="33">
        <f>D36-D39</f>
        <v>0</v>
      </c>
      <c r="E40" s="32"/>
    </row>
    <row r="41" spans="1:9">
      <c r="A41" s="25">
        <v>37</v>
      </c>
      <c r="B41" t="s">
        <v>72</v>
      </c>
      <c r="C41"/>
      <c r="D41"/>
      <c r="E41" s="17"/>
      <c r="F41" s="38"/>
      <c r="G41" s="38"/>
      <c r="H41" s="38"/>
      <c r="I41" s="38"/>
    </row>
    <row r="42" customFormat="1" spans="1:9">
      <c r="A42" s="25">
        <v>38</v>
      </c>
      <c r="B42" s="7" t="s">
        <v>73</v>
      </c>
      <c r="C42" s="34" t="s">
        <v>74</v>
      </c>
      <c r="D42" s="34" t="s">
        <v>75</v>
      </c>
      <c r="E42" s="32" t="s">
        <v>76</v>
      </c>
      <c r="G42" s="40"/>
      <c r="H42" s="40"/>
      <c r="I42" s="40"/>
    </row>
    <row r="43" spans="1:9">
      <c r="A43" s="25">
        <v>39</v>
      </c>
      <c r="B43" s="48"/>
      <c r="C43" s="49"/>
      <c r="D43" s="2"/>
      <c r="E43" s="19"/>
      <c r="F43" s="37"/>
      <c r="G43" s="44"/>
      <c r="H43" s="37"/>
      <c r="I43" s="37"/>
    </row>
    <row r="44" spans="1:9">
      <c r="A44" s="25">
        <v>40</v>
      </c>
      <c r="B44" s="48"/>
      <c r="C44" s="49"/>
      <c r="D44" s="2"/>
      <c r="E44" s="19"/>
      <c r="F44" s="37"/>
      <c r="G44" s="44"/>
      <c r="H44" s="37"/>
      <c r="I44" s="37"/>
    </row>
    <row r="45" spans="1:9">
      <c r="A45" s="25">
        <v>41</v>
      </c>
      <c r="B45" s="48"/>
      <c r="C45" s="49"/>
      <c r="D45" s="2"/>
      <c r="E45" s="19"/>
      <c r="F45" s="37"/>
      <c r="G45" s="44"/>
      <c r="H45" s="37"/>
      <c r="I45" s="37"/>
    </row>
    <row r="46" spans="1:9">
      <c r="A46" s="25">
        <v>42</v>
      </c>
      <c r="B46" s="48"/>
      <c r="C46" s="49"/>
      <c r="D46" s="2"/>
      <c r="E46" s="19"/>
      <c r="F46" s="37"/>
      <c r="G46" s="44"/>
      <c r="H46" s="37"/>
      <c r="I46" s="37"/>
    </row>
    <row r="47" spans="1:9">
      <c r="A47" s="25">
        <v>43</v>
      </c>
      <c r="B47" s="48"/>
      <c r="C47" s="49"/>
      <c r="D47" s="2"/>
      <c r="E47" s="19"/>
      <c r="F47" s="37"/>
      <c r="G47" s="44"/>
      <c r="H47" s="37"/>
      <c r="I47" s="37"/>
    </row>
    <row r="48" spans="1:9">
      <c r="A48" s="25">
        <v>44</v>
      </c>
      <c r="B48" s="48"/>
      <c r="C48" s="49"/>
      <c r="D48" s="2"/>
      <c r="E48" s="19"/>
      <c r="F48" s="37"/>
      <c r="G48" s="37"/>
      <c r="H48" s="37"/>
      <c r="I48" s="37"/>
    </row>
    <row r="49" spans="1:9">
      <c r="A49" s="25">
        <v>45</v>
      </c>
      <c r="B49" s="32" t="s">
        <v>77</v>
      </c>
      <c r="C49" s="50"/>
      <c r="D49" s="50"/>
      <c r="E49" s="52">
        <f>SUM(E43:E48)</f>
        <v>0</v>
      </c>
      <c r="F49" s="37"/>
      <c r="G49" s="37"/>
      <c r="H49" s="37"/>
      <c r="I49" s="37"/>
    </row>
  </sheetData>
  <printOptions gridLines="1"/>
  <pageMargins left="0.75" right="0.75" top="1" bottom="1" header="0.5" footer="0.5"/>
  <pageSetup paperSize="9" scale="84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"/>
  <sheetViews>
    <sheetView view="pageBreakPreview" zoomScaleNormal="100" topLeftCell="A25" workbookViewId="0">
      <selection activeCell="A5" sqref="A5:A48"/>
    </sheetView>
  </sheetViews>
  <sheetFormatPr defaultColWidth="8.77777777777778" defaultRowHeight="12.75"/>
  <cols>
    <col min="1" max="1" width="5.33333333333333" style="1" customWidth="1"/>
    <col min="2" max="2" width="39.7777777777778" customWidth="1"/>
    <col min="3" max="4" width="12.7777777777778" style="17" customWidth="1"/>
    <col min="5" max="5" width="34.8888888888889" customWidth="1"/>
    <col min="6" max="6" width="10" customWidth="1"/>
  </cols>
  <sheetData>
    <row r="1" customFormat="1" spans="1:4">
      <c r="A1" s="1" t="s">
        <v>0</v>
      </c>
      <c r="C1" s="17"/>
      <c r="D1" s="17"/>
    </row>
    <row r="2" customFormat="1" spans="1:4">
      <c r="A2" s="1" t="s">
        <v>100</v>
      </c>
      <c r="B2" s="2"/>
      <c r="C2" s="17" t="s">
        <v>30</v>
      </c>
      <c r="D2" s="19" t="s">
        <v>31</v>
      </c>
    </row>
    <row r="3" customFormat="1" spans="1:8">
      <c r="A3" s="1" t="s">
        <v>32</v>
      </c>
      <c r="B3" s="2"/>
      <c r="C3" s="17" t="s">
        <v>2</v>
      </c>
      <c r="D3" s="55">
        <v>45989</v>
      </c>
      <c r="G3" s="21"/>
      <c r="H3" s="22"/>
    </row>
    <row r="4" s="16" customFormat="1" spans="1:5">
      <c r="A4" s="23" t="s">
        <v>3</v>
      </c>
      <c r="B4" s="8" t="s">
        <v>33</v>
      </c>
      <c r="C4" s="24" t="s">
        <v>34</v>
      </c>
      <c r="D4" s="24" t="s">
        <v>35</v>
      </c>
      <c r="E4" s="14" t="s">
        <v>36</v>
      </c>
    </row>
    <row r="5" customFormat="1" spans="1:5">
      <c r="A5" s="25">
        <v>1</v>
      </c>
      <c r="B5" t="s">
        <v>37</v>
      </c>
      <c r="D5" s="26"/>
      <c r="E5" s="26"/>
    </row>
    <row r="6" customFormat="1" spans="1:5">
      <c r="A6" s="25">
        <v>2</v>
      </c>
      <c r="B6" t="s">
        <v>38</v>
      </c>
      <c r="D6" s="26"/>
      <c r="E6" s="26"/>
    </row>
    <row r="7" customFormat="1" spans="1:5">
      <c r="A7" s="25">
        <v>3</v>
      </c>
      <c r="B7" t="s">
        <v>39</v>
      </c>
      <c r="D7" s="26"/>
      <c r="E7" s="26"/>
    </row>
    <row r="8" customFormat="1" spans="1:5">
      <c r="A8" s="25">
        <v>4</v>
      </c>
      <c r="B8" t="s">
        <v>40</v>
      </c>
      <c r="D8" s="26"/>
      <c r="E8" s="26"/>
    </row>
    <row r="9" customFormat="1" spans="1:5">
      <c r="A9" s="25">
        <v>5</v>
      </c>
      <c r="B9" t="s">
        <v>41</v>
      </c>
      <c r="D9" s="26"/>
      <c r="E9" s="26"/>
    </row>
    <row r="10" customFormat="1" ht="34.05" customHeight="1" spans="1:5">
      <c r="A10" s="25">
        <v>6</v>
      </c>
      <c r="B10" t="s">
        <v>42</v>
      </c>
      <c r="D10" s="53">
        <v>1180</v>
      </c>
      <c r="E10" s="54" t="s">
        <v>91</v>
      </c>
    </row>
    <row r="11" customFormat="1" spans="1:5">
      <c r="A11" s="25">
        <v>7</v>
      </c>
      <c r="B11" s="32" t="s">
        <v>44</v>
      </c>
      <c r="C11" s="32"/>
      <c r="D11" s="33">
        <f>SUM(D5:D10)</f>
        <v>1180</v>
      </c>
      <c r="E11" s="33"/>
    </row>
    <row r="12" ht="51" spans="1:6">
      <c r="A12" s="25">
        <v>8</v>
      </c>
      <c r="B12" s="7" t="s">
        <v>45</v>
      </c>
      <c r="C12" s="34" t="s">
        <v>46</v>
      </c>
      <c r="D12" s="34" t="s">
        <v>47</v>
      </c>
      <c r="E12" s="34" t="s">
        <v>48</v>
      </c>
      <c r="F12" s="16"/>
    </row>
    <row r="13" customFormat="1" spans="1:5">
      <c r="A13" s="25">
        <v>9</v>
      </c>
      <c r="B13" t="s">
        <v>49</v>
      </c>
      <c r="C13" s="19"/>
      <c r="D13" s="19">
        <v>0</v>
      </c>
      <c r="E13" s="2"/>
    </row>
    <row r="14" customFormat="1" spans="1:5">
      <c r="A14" s="25">
        <v>10</v>
      </c>
      <c r="B14" t="s">
        <v>50</v>
      </c>
      <c r="C14" s="17"/>
      <c r="D14" s="19">
        <v>7139</v>
      </c>
      <c r="E14" s="2"/>
    </row>
    <row r="15" customFormat="1" spans="1:6">
      <c r="A15" s="25">
        <v>11</v>
      </c>
      <c r="B15" t="s">
        <v>51</v>
      </c>
      <c r="C15" s="17"/>
      <c r="D15" s="19">
        <f>D14-D13-D11</f>
        <v>5959</v>
      </c>
      <c r="E15" s="35"/>
      <c r="F15" s="35"/>
    </row>
    <row r="16" customFormat="1" spans="1:5">
      <c r="A16" s="25">
        <v>12</v>
      </c>
      <c r="B16" t="s">
        <v>52</v>
      </c>
      <c r="C16" s="17"/>
      <c r="D16" s="19"/>
      <c r="E16" s="35"/>
    </row>
    <row r="17" customFormat="1" spans="1:5">
      <c r="A17" s="25">
        <v>13</v>
      </c>
      <c r="B17" t="s">
        <v>53</v>
      </c>
      <c r="C17" s="17"/>
      <c r="D17" s="17">
        <f>SUM(D15:D16)</f>
        <v>5959</v>
      </c>
      <c r="E17" s="35"/>
    </row>
    <row r="18" customFormat="1" spans="1:5">
      <c r="A18" s="25">
        <v>14</v>
      </c>
      <c r="B18" s="32" t="s">
        <v>54</v>
      </c>
      <c r="C18" s="36"/>
      <c r="D18" s="36"/>
      <c r="E18" s="36"/>
    </row>
    <row r="19" customFormat="1" spans="1:5">
      <c r="A19" s="25">
        <v>15</v>
      </c>
      <c r="B19" t="s">
        <v>55</v>
      </c>
      <c r="C19" s="17"/>
      <c r="D19" s="17"/>
      <c r="E19" s="35"/>
    </row>
    <row r="20" customFormat="1" spans="1:4">
      <c r="A20" s="25">
        <v>16</v>
      </c>
      <c r="B20" t="s">
        <v>56</v>
      </c>
      <c r="C20" s="17"/>
      <c r="D20" s="17"/>
    </row>
    <row r="21" customFormat="1" spans="1:5">
      <c r="A21" s="25">
        <v>17</v>
      </c>
      <c r="B21" t="s">
        <v>57</v>
      </c>
      <c r="C21" s="17"/>
      <c r="D21" s="17"/>
      <c r="E21" s="35"/>
    </row>
    <row r="22" customFormat="1" spans="1:5">
      <c r="A22" s="25">
        <v>18</v>
      </c>
      <c r="B22" t="s">
        <v>57</v>
      </c>
      <c r="C22" s="17"/>
      <c r="D22" s="17"/>
      <c r="E22" s="35"/>
    </row>
    <row r="23" customFormat="1" spans="1:5">
      <c r="A23" s="25">
        <v>19</v>
      </c>
      <c r="B23" t="s">
        <v>57</v>
      </c>
      <c r="C23" s="17"/>
      <c r="D23" s="17"/>
      <c r="E23" s="35"/>
    </row>
    <row r="24" customFormat="1" spans="1:5">
      <c r="A24" s="25">
        <v>20</v>
      </c>
      <c r="B24" t="s">
        <v>57</v>
      </c>
      <c r="C24" s="17"/>
      <c r="D24" s="17"/>
      <c r="E24" s="35"/>
    </row>
    <row r="25" customFormat="1" spans="1:4">
      <c r="A25" s="25">
        <v>21</v>
      </c>
      <c r="B25" t="s">
        <v>58</v>
      </c>
      <c r="C25" s="17"/>
      <c r="D25" s="17"/>
    </row>
    <row r="26" customFormat="1" spans="1:4">
      <c r="A26" s="25">
        <v>22</v>
      </c>
      <c r="B26" t="s">
        <v>59</v>
      </c>
      <c r="C26" s="17"/>
      <c r="D26" s="17"/>
    </row>
    <row r="27" customFormat="1" spans="1:4">
      <c r="A27" s="25">
        <v>23</v>
      </c>
      <c r="B27" t="s">
        <v>60</v>
      </c>
      <c r="C27" s="17"/>
      <c r="D27" s="17">
        <f>SUM(D19:D24)-D25-D26</f>
        <v>0</v>
      </c>
    </row>
    <row r="28" customFormat="1" spans="1:5">
      <c r="A28" s="25">
        <v>24</v>
      </c>
      <c r="B28" s="32" t="s">
        <v>61</v>
      </c>
      <c r="C28" s="36"/>
      <c r="D28" s="36"/>
      <c r="E28" s="36"/>
    </row>
    <row r="29" customFormat="1" spans="1:4">
      <c r="A29" s="25">
        <v>25</v>
      </c>
      <c r="B29" t="s">
        <v>62</v>
      </c>
      <c r="C29" s="37"/>
      <c r="D29" s="38">
        <v>0</v>
      </c>
    </row>
    <row r="30" customFormat="1" spans="1:5">
      <c r="A30" s="25">
        <v>26</v>
      </c>
      <c r="B30" t="s">
        <v>63</v>
      </c>
      <c r="C30" s="19"/>
      <c r="D30" s="17">
        <v>0</v>
      </c>
      <c r="E30" s="35"/>
    </row>
    <row r="31" customFormat="1" spans="1:5">
      <c r="A31" s="25">
        <v>27</v>
      </c>
      <c r="B31" s="8" t="s">
        <v>45</v>
      </c>
      <c r="C31" s="32"/>
      <c r="D31" s="39" t="s">
        <v>35</v>
      </c>
      <c r="E31" s="8" t="s">
        <v>48</v>
      </c>
    </row>
    <row r="32" customFormat="1" spans="1:4">
      <c r="A32" s="25">
        <v>28</v>
      </c>
      <c r="B32" t="s">
        <v>64</v>
      </c>
      <c r="D32" s="26"/>
    </row>
    <row r="33" customFormat="1" spans="1:4">
      <c r="A33" s="25">
        <v>29</v>
      </c>
      <c r="B33" t="s">
        <v>65</v>
      </c>
      <c r="D33" s="26"/>
    </row>
    <row r="34" customFormat="1" spans="1:4">
      <c r="A34" s="25">
        <v>30</v>
      </c>
      <c r="B34" t="s">
        <v>66</v>
      </c>
      <c r="D34" s="26"/>
    </row>
    <row r="35" customFormat="1" spans="1:5">
      <c r="A35" s="25">
        <v>31</v>
      </c>
      <c r="B35" s="32" t="s">
        <v>67</v>
      </c>
      <c r="C35" s="32"/>
      <c r="D35" s="33">
        <f>SUM(D32:D34)</f>
        <v>0</v>
      </c>
      <c r="E35" s="32"/>
    </row>
    <row r="36" customFormat="1" spans="1:4">
      <c r="A36" s="25">
        <v>32</v>
      </c>
      <c r="B36" t="s">
        <v>68</v>
      </c>
      <c r="D36" s="26"/>
    </row>
    <row r="37" customFormat="1" spans="1:4">
      <c r="A37" s="25">
        <v>33</v>
      </c>
      <c r="B37" t="s">
        <v>69</v>
      </c>
      <c r="D37" s="26"/>
    </row>
    <row r="38" customFormat="1" spans="1:5">
      <c r="A38" s="25">
        <v>34</v>
      </c>
      <c r="B38" s="32" t="s">
        <v>70</v>
      </c>
      <c r="C38" s="32"/>
      <c r="D38" s="33">
        <f>SUM(D36:D37)</f>
        <v>0</v>
      </c>
      <c r="E38" s="32"/>
    </row>
    <row r="39" customFormat="1" spans="1:5">
      <c r="A39" s="25">
        <v>35</v>
      </c>
      <c r="B39" s="32" t="s">
        <v>71</v>
      </c>
      <c r="C39" s="32"/>
      <c r="D39" s="33">
        <f>D35-D38</f>
        <v>0</v>
      </c>
      <c r="E39" s="32"/>
    </row>
    <row r="40" spans="1:9">
      <c r="A40" s="25">
        <v>36</v>
      </c>
      <c r="B40" t="s">
        <v>72</v>
      </c>
      <c r="C40"/>
      <c r="D40"/>
      <c r="E40" s="17"/>
      <c r="F40" s="38"/>
      <c r="G40" s="38"/>
      <c r="H40" s="38"/>
      <c r="I40" s="38"/>
    </row>
    <row r="41" customFormat="1" spans="1:9">
      <c r="A41" s="25">
        <v>37</v>
      </c>
      <c r="B41" s="7" t="s">
        <v>73</v>
      </c>
      <c r="C41" s="34" t="s">
        <v>74</v>
      </c>
      <c r="D41" s="34" t="s">
        <v>75</v>
      </c>
      <c r="E41" s="32" t="s">
        <v>76</v>
      </c>
      <c r="G41" s="40"/>
      <c r="H41" s="40"/>
      <c r="I41" s="40"/>
    </row>
    <row r="42" spans="1:9">
      <c r="A42" s="25">
        <v>38</v>
      </c>
      <c r="B42" s="48"/>
      <c r="C42" s="49"/>
      <c r="D42" s="2"/>
      <c r="E42" s="19"/>
      <c r="F42" s="37"/>
      <c r="G42" s="44"/>
      <c r="H42" s="37"/>
      <c r="I42" s="37"/>
    </row>
    <row r="43" spans="1:9">
      <c r="A43" s="25">
        <v>39</v>
      </c>
      <c r="B43" s="48"/>
      <c r="C43" s="49"/>
      <c r="D43" s="2"/>
      <c r="E43" s="19"/>
      <c r="F43" s="37"/>
      <c r="G43" s="44"/>
      <c r="H43" s="37"/>
      <c r="I43" s="37"/>
    </row>
    <row r="44" spans="1:9">
      <c r="A44" s="25">
        <v>40</v>
      </c>
      <c r="B44" s="48"/>
      <c r="C44" s="49"/>
      <c r="D44" s="2"/>
      <c r="E44" s="19"/>
      <c r="F44" s="37"/>
      <c r="G44" s="44"/>
      <c r="H44" s="37"/>
      <c r="I44" s="37"/>
    </row>
    <row r="45" spans="1:9">
      <c r="A45" s="25">
        <v>41</v>
      </c>
      <c r="B45" s="48"/>
      <c r="C45" s="49"/>
      <c r="D45" s="2"/>
      <c r="E45" s="19"/>
      <c r="F45" s="37"/>
      <c r="G45" s="44"/>
      <c r="H45" s="37"/>
      <c r="I45" s="37"/>
    </row>
    <row r="46" spans="1:9">
      <c r="A46" s="25">
        <v>42</v>
      </c>
      <c r="B46" s="48"/>
      <c r="C46" s="49"/>
      <c r="D46" s="2"/>
      <c r="E46" s="19"/>
      <c r="F46" s="37"/>
      <c r="G46" s="44"/>
      <c r="H46" s="37"/>
      <c r="I46" s="37"/>
    </row>
    <row r="47" spans="1:9">
      <c r="A47" s="25">
        <v>43</v>
      </c>
      <c r="B47" s="48"/>
      <c r="C47" s="49"/>
      <c r="D47" s="2"/>
      <c r="E47" s="19"/>
      <c r="F47" s="37"/>
      <c r="G47" s="37"/>
      <c r="H47" s="37"/>
      <c r="I47" s="37"/>
    </row>
    <row r="48" spans="1:9">
      <c r="A48" s="25">
        <v>44</v>
      </c>
      <c r="B48" s="32" t="s">
        <v>77</v>
      </c>
      <c r="C48" s="50"/>
      <c r="D48" s="50"/>
      <c r="E48" s="52">
        <f>SUM(E42:E47)</f>
        <v>0</v>
      </c>
      <c r="F48" s="37"/>
      <c r="G48" s="37"/>
      <c r="H48" s="37"/>
      <c r="I48" s="37"/>
    </row>
  </sheetData>
  <printOptions gridLines="1"/>
  <pageMargins left="0.75" right="0.75" top="1" bottom="1" header="0.5" footer="0.5"/>
  <pageSetup paperSize="9" scale="9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view="pageBreakPreview" zoomScaleNormal="100" topLeftCell="A26" workbookViewId="0">
      <selection activeCell="A5" sqref="A5:A49"/>
    </sheetView>
  </sheetViews>
  <sheetFormatPr defaultColWidth="8.77777777777778" defaultRowHeight="12.75"/>
  <cols>
    <col min="1" max="1" width="5.33333333333333" style="1" customWidth="1"/>
    <col min="2" max="2" width="39.7777777777778" customWidth="1"/>
    <col min="3" max="4" width="12.7777777777778" style="17" customWidth="1"/>
    <col min="5" max="5" width="34.8888888888889" customWidth="1"/>
    <col min="6" max="6" width="10" customWidth="1"/>
  </cols>
  <sheetData>
    <row r="1" customFormat="1" spans="1:4">
      <c r="A1" s="1" t="s">
        <v>0</v>
      </c>
      <c r="C1" s="17"/>
      <c r="D1" s="17"/>
    </row>
    <row r="2" customFormat="1" spans="1:4">
      <c r="A2" s="1" t="s">
        <v>101</v>
      </c>
      <c r="B2" s="2"/>
      <c r="C2" s="17" t="s">
        <v>30</v>
      </c>
      <c r="D2" s="60" t="s">
        <v>31</v>
      </c>
    </row>
    <row r="3" customFormat="1" spans="1:8">
      <c r="A3" s="1" t="s">
        <v>32</v>
      </c>
      <c r="B3" s="2"/>
      <c r="C3" s="17" t="s">
        <v>2</v>
      </c>
      <c r="D3" s="55">
        <v>45933</v>
      </c>
      <c r="G3" s="21"/>
      <c r="H3" s="22"/>
    </row>
    <row r="4" s="16" customFormat="1" spans="1:5">
      <c r="A4" s="23" t="s">
        <v>3</v>
      </c>
      <c r="B4" s="8" t="s">
        <v>33</v>
      </c>
      <c r="C4" s="24" t="s">
        <v>34</v>
      </c>
      <c r="D4" s="24" t="s">
        <v>35</v>
      </c>
      <c r="E4" s="14" t="s">
        <v>36</v>
      </c>
    </row>
    <row r="5" customFormat="1" spans="1:5">
      <c r="A5" s="25">
        <v>1</v>
      </c>
      <c r="B5" t="s">
        <v>37</v>
      </c>
      <c r="D5" s="26"/>
      <c r="E5" s="26"/>
    </row>
    <row r="6" customFormat="1" spans="1:5">
      <c r="A6" s="25">
        <v>2</v>
      </c>
      <c r="B6" t="s">
        <v>38</v>
      </c>
      <c r="D6" s="26"/>
      <c r="E6" s="26"/>
    </row>
    <row r="7" customFormat="1" spans="1:5">
      <c r="A7" s="25">
        <v>3</v>
      </c>
      <c r="B7" t="s">
        <v>39</v>
      </c>
      <c r="D7" s="26"/>
      <c r="E7" s="26"/>
    </row>
    <row r="8" customFormat="1" spans="1:5">
      <c r="A8" s="25">
        <v>4</v>
      </c>
      <c r="B8" t="s">
        <v>40</v>
      </c>
      <c r="D8" s="26"/>
      <c r="E8" s="26"/>
    </row>
    <row r="9" customFormat="1" spans="1:5">
      <c r="A9" s="25">
        <v>5</v>
      </c>
      <c r="B9" t="s">
        <v>41</v>
      </c>
      <c r="D9" s="26"/>
      <c r="E9" s="26"/>
    </row>
    <row r="10" customFormat="1" ht="34.05" customHeight="1" spans="1:5">
      <c r="A10" s="25">
        <v>6</v>
      </c>
      <c r="B10" t="s">
        <v>42</v>
      </c>
      <c r="D10" s="53">
        <f>1180</f>
        <v>1180</v>
      </c>
      <c r="E10" s="54" t="s">
        <v>102</v>
      </c>
    </row>
    <row r="11" customFormat="1" spans="1:5">
      <c r="A11" s="25">
        <v>7</v>
      </c>
      <c r="B11" t="s">
        <v>42</v>
      </c>
      <c r="D11" s="26"/>
      <c r="E11" s="26"/>
    </row>
    <row r="12" customFormat="1" spans="1:5">
      <c r="A12" s="25">
        <v>8</v>
      </c>
      <c r="B12" s="32" t="s">
        <v>44</v>
      </c>
      <c r="C12" s="32"/>
      <c r="D12" s="33">
        <f>SUM(D5:D11)</f>
        <v>1180</v>
      </c>
      <c r="E12" s="33"/>
    </row>
    <row r="13" ht="51" spans="1:6">
      <c r="A13" s="25">
        <v>9</v>
      </c>
      <c r="B13" s="7" t="s">
        <v>45</v>
      </c>
      <c r="C13" s="34" t="s">
        <v>46</v>
      </c>
      <c r="D13" s="34" t="s">
        <v>47</v>
      </c>
      <c r="E13" s="34" t="s">
        <v>48</v>
      </c>
      <c r="F13" s="16"/>
    </row>
    <row r="14" customFormat="1" spans="1:5">
      <c r="A14" s="25">
        <v>10</v>
      </c>
      <c r="B14" t="s">
        <v>49</v>
      </c>
      <c r="C14" s="19"/>
      <c r="D14" s="19">
        <v>0</v>
      </c>
      <c r="E14" s="2"/>
    </row>
    <row r="15" customFormat="1" spans="1:5">
      <c r="A15" s="25">
        <v>11</v>
      </c>
      <c r="B15" t="s">
        <v>50</v>
      </c>
      <c r="C15" s="17"/>
      <c r="D15" s="19">
        <v>5496</v>
      </c>
      <c r="E15" s="2"/>
    </row>
    <row r="16" customFormat="1" spans="1:6">
      <c r="A16" s="25">
        <v>12</v>
      </c>
      <c r="B16" t="s">
        <v>51</v>
      </c>
      <c r="C16" s="17"/>
      <c r="D16" s="19">
        <f>D15-D14-D12</f>
        <v>4316</v>
      </c>
      <c r="E16" s="35"/>
      <c r="F16" s="35"/>
    </row>
    <row r="17" customFormat="1" spans="1:5">
      <c r="A17" s="25">
        <v>13</v>
      </c>
      <c r="B17" t="s">
        <v>52</v>
      </c>
      <c r="C17" s="17"/>
      <c r="D17" s="19"/>
      <c r="E17" s="35"/>
    </row>
    <row r="18" customFormat="1" spans="1:5">
      <c r="A18" s="25">
        <v>14</v>
      </c>
      <c r="B18" t="s">
        <v>53</v>
      </c>
      <c r="C18" s="17"/>
      <c r="D18" s="17">
        <f>SUM(D16:D17)</f>
        <v>4316</v>
      </c>
      <c r="E18" s="35"/>
    </row>
    <row r="19" customFormat="1" spans="1:5">
      <c r="A19" s="25">
        <v>15</v>
      </c>
      <c r="B19" s="32" t="s">
        <v>54</v>
      </c>
      <c r="C19" s="36"/>
      <c r="D19" s="36"/>
      <c r="E19" s="36"/>
    </row>
    <row r="20" customFormat="1" spans="1:5">
      <c r="A20" s="25">
        <v>16</v>
      </c>
      <c r="B20" t="s">
        <v>55</v>
      </c>
      <c r="C20" s="17"/>
      <c r="D20" s="17"/>
      <c r="E20" s="35"/>
    </row>
    <row r="21" customFormat="1" spans="1:4">
      <c r="A21" s="25">
        <v>17</v>
      </c>
      <c r="B21" t="s">
        <v>56</v>
      </c>
      <c r="C21" s="17"/>
      <c r="D21" s="17"/>
    </row>
    <row r="22" customFormat="1" spans="1:5">
      <c r="A22" s="25">
        <v>18</v>
      </c>
      <c r="B22" t="s">
        <v>57</v>
      </c>
      <c r="C22" s="17"/>
      <c r="D22" s="17"/>
      <c r="E22" s="35"/>
    </row>
    <row r="23" customFormat="1" spans="1:5">
      <c r="A23" s="25">
        <v>19</v>
      </c>
      <c r="B23" t="s">
        <v>57</v>
      </c>
      <c r="C23" s="17"/>
      <c r="D23" s="17"/>
      <c r="E23" s="35"/>
    </row>
    <row r="24" customFormat="1" spans="1:5">
      <c r="A24" s="25">
        <v>20</v>
      </c>
      <c r="B24" t="s">
        <v>57</v>
      </c>
      <c r="C24" s="17"/>
      <c r="D24" s="17"/>
      <c r="E24" s="35"/>
    </row>
    <row r="25" customFormat="1" spans="1:5">
      <c r="A25" s="25">
        <v>21</v>
      </c>
      <c r="B25" t="s">
        <v>57</v>
      </c>
      <c r="C25" s="17"/>
      <c r="D25" s="17"/>
      <c r="E25" s="35"/>
    </row>
    <row r="26" customFormat="1" spans="1:4">
      <c r="A26" s="25">
        <v>22</v>
      </c>
      <c r="B26" t="s">
        <v>58</v>
      </c>
      <c r="C26" s="17"/>
      <c r="D26" s="17"/>
    </row>
    <row r="27" customFormat="1" spans="1:4">
      <c r="A27" s="25">
        <v>23</v>
      </c>
      <c r="B27" t="s">
        <v>59</v>
      </c>
      <c r="C27" s="17"/>
      <c r="D27" s="17"/>
    </row>
    <row r="28" customFormat="1" spans="1:4">
      <c r="A28" s="25">
        <v>24</v>
      </c>
      <c r="B28" t="s">
        <v>60</v>
      </c>
      <c r="C28" s="17"/>
      <c r="D28" s="17">
        <f>SUM(D20:D25)-D26-D27</f>
        <v>0</v>
      </c>
    </row>
    <row r="29" customFormat="1" spans="1:5">
      <c r="A29" s="25">
        <v>25</v>
      </c>
      <c r="B29" s="32" t="s">
        <v>61</v>
      </c>
      <c r="C29" s="36"/>
      <c r="D29" s="36"/>
      <c r="E29" s="36"/>
    </row>
    <row r="30" customFormat="1" spans="1:4">
      <c r="A30" s="25">
        <v>26</v>
      </c>
      <c r="B30" t="s">
        <v>62</v>
      </c>
      <c r="C30" s="37"/>
      <c r="D30" s="38">
        <v>0</v>
      </c>
    </row>
    <row r="31" customFormat="1" spans="1:5">
      <c r="A31" s="25">
        <v>27</v>
      </c>
      <c r="B31" t="s">
        <v>63</v>
      </c>
      <c r="C31" s="19"/>
      <c r="D31" s="17">
        <v>0</v>
      </c>
      <c r="E31" s="35"/>
    </row>
    <row r="32" customFormat="1" spans="1:5">
      <c r="A32" s="25">
        <v>28</v>
      </c>
      <c r="B32" s="8" t="s">
        <v>45</v>
      </c>
      <c r="C32" s="32"/>
      <c r="D32" s="39" t="s">
        <v>35</v>
      </c>
      <c r="E32" s="8" t="s">
        <v>48</v>
      </c>
    </row>
    <row r="33" customFormat="1" spans="1:4">
      <c r="A33" s="25">
        <v>29</v>
      </c>
      <c r="B33" t="s">
        <v>64</v>
      </c>
      <c r="D33" s="26"/>
    </row>
    <row r="34" customFormat="1" spans="1:4">
      <c r="A34" s="25">
        <v>30</v>
      </c>
      <c r="B34" t="s">
        <v>65</v>
      </c>
      <c r="D34" s="26"/>
    </row>
    <row r="35" customFormat="1" spans="1:4">
      <c r="A35" s="25">
        <v>31</v>
      </c>
      <c r="B35" t="s">
        <v>66</v>
      </c>
      <c r="D35" s="26"/>
    </row>
    <row r="36" customFormat="1" spans="1:5">
      <c r="A36" s="25">
        <v>32</v>
      </c>
      <c r="B36" s="32" t="s">
        <v>67</v>
      </c>
      <c r="C36" s="32"/>
      <c r="D36" s="33">
        <f>SUM(D33:D35)</f>
        <v>0</v>
      </c>
      <c r="E36" s="32"/>
    </row>
    <row r="37" customFormat="1" spans="1:4">
      <c r="A37" s="25">
        <v>33</v>
      </c>
      <c r="B37" t="s">
        <v>68</v>
      </c>
      <c r="D37" s="26"/>
    </row>
    <row r="38" customFormat="1" spans="1:4">
      <c r="A38" s="25">
        <v>34</v>
      </c>
      <c r="B38" t="s">
        <v>69</v>
      </c>
      <c r="D38" s="26"/>
    </row>
    <row r="39" customFormat="1" spans="1:5">
      <c r="A39" s="25">
        <v>35</v>
      </c>
      <c r="B39" s="32" t="s">
        <v>70</v>
      </c>
      <c r="C39" s="32"/>
      <c r="D39" s="33">
        <f>SUM(D37:D38)</f>
        <v>0</v>
      </c>
      <c r="E39" s="32"/>
    </row>
    <row r="40" customFormat="1" spans="1:5">
      <c r="A40" s="25">
        <v>36</v>
      </c>
      <c r="B40" s="32" t="s">
        <v>71</v>
      </c>
      <c r="C40" s="32"/>
      <c r="D40" s="33">
        <f>D36-D39</f>
        <v>0</v>
      </c>
      <c r="E40" s="32"/>
    </row>
    <row r="41" spans="1:9">
      <c r="A41" s="25">
        <v>37</v>
      </c>
      <c r="B41" t="s">
        <v>72</v>
      </c>
      <c r="C41"/>
      <c r="D41"/>
      <c r="E41" s="17"/>
      <c r="F41" s="38"/>
      <c r="G41" s="38"/>
      <c r="H41" s="38"/>
      <c r="I41" s="38"/>
    </row>
    <row r="42" customFormat="1" spans="1:9">
      <c r="A42" s="25">
        <v>38</v>
      </c>
      <c r="B42" s="7" t="s">
        <v>73</v>
      </c>
      <c r="C42" s="34" t="s">
        <v>74</v>
      </c>
      <c r="D42" s="34" t="s">
        <v>75</v>
      </c>
      <c r="E42" s="32" t="s">
        <v>76</v>
      </c>
      <c r="G42" s="40"/>
      <c r="H42" s="40"/>
      <c r="I42" s="40"/>
    </row>
    <row r="43" spans="1:9">
      <c r="A43" s="25">
        <v>39</v>
      </c>
      <c r="B43" s="48"/>
      <c r="C43" s="49"/>
      <c r="D43" s="2"/>
      <c r="E43" s="19"/>
      <c r="F43" s="37"/>
      <c r="G43" s="44"/>
      <c r="H43" s="37"/>
      <c r="I43" s="37"/>
    </row>
    <row r="44" spans="1:9">
      <c r="A44" s="25">
        <v>40</v>
      </c>
      <c r="B44" s="48"/>
      <c r="C44" s="49"/>
      <c r="D44" s="2"/>
      <c r="E44" s="19"/>
      <c r="F44" s="37"/>
      <c r="G44" s="44"/>
      <c r="H44" s="37"/>
      <c r="I44" s="37"/>
    </row>
    <row r="45" spans="1:9">
      <c r="A45" s="25">
        <v>41</v>
      </c>
      <c r="B45" s="48"/>
      <c r="C45" s="49"/>
      <c r="D45" s="2"/>
      <c r="E45" s="19"/>
      <c r="F45" s="37"/>
      <c r="G45" s="44"/>
      <c r="H45" s="37"/>
      <c r="I45" s="37"/>
    </row>
    <row r="46" spans="1:9">
      <c r="A46" s="25">
        <v>42</v>
      </c>
      <c r="B46" s="48"/>
      <c r="C46" s="49"/>
      <c r="D46" s="2"/>
      <c r="E46" s="19"/>
      <c r="F46" s="37"/>
      <c r="G46" s="44"/>
      <c r="H46" s="37"/>
      <c r="I46" s="37"/>
    </row>
    <row r="47" spans="1:9">
      <c r="A47" s="25">
        <v>43</v>
      </c>
      <c r="B47" s="48"/>
      <c r="C47" s="49"/>
      <c r="D47" s="2"/>
      <c r="E47" s="19"/>
      <c r="F47" s="37"/>
      <c r="G47" s="44"/>
      <c r="H47" s="37"/>
      <c r="I47" s="37"/>
    </row>
    <row r="48" spans="1:9">
      <c r="A48" s="25">
        <v>44</v>
      </c>
      <c r="B48" s="48"/>
      <c r="C48" s="49"/>
      <c r="D48" s="2"/>
      <c r="E48" s="19"/>
      <c r="F48" s="37"/>
      <c r="G48" s="37"/>
      <c r="H48" s="37"/>
      <c r="I48" s="37"/>
    </row>
    <row r="49" spans="1:9">
      <c r="A49" s="25">
        <v>45</v>
      </c>
      <c r="B49" s="32" t="s">
        <v>77</v>
      </c>
      <c r="C49" s="50"/>
      <c r="D49" s="50"/>
      <c r="E49" s="52">
        <f>SUM(E43:E48)</f>
        <v>0</v>
      </c>
      <c r="F49" s="37"/>
      <c r="G49" s="37"/>
      <c r="H49" s="37"/>
      <c r="I49" s="37"/>
    </row>
  </sheetData>
  <printOptions gridLines="1"/>
  <pageMargins left="0.75" right="0.75" top="1" bottom="1" header="0.5" footer="0.5"/>
  <pageSetup paperSize="9" scale="83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view="pageBreakPreview" zoomScaleNormal="100" topLeftCell="A31" workbookViewId="0">
      <selection activeCell="J47" sqref="J47"/>
    </sheetView>
  </sheetViews>
  <sheetFormatPr defaultColWidth="8.77777777777778" defaultRowHeight="12.75"/>
  <cols>
    <col min="1" max="1" width="5.33333333333333" style="1" customWidth="1"/>
    <col min="2" max="2" width="39.7777777777778" customWidth="1"/>
    <col min="3" max="4" width="12.7777777777778" style="17" customWidth="1"/>
    <col min="5" max="5" width="39.5" customWidth="1"/>
    <col min="6" max="6" width="5" customWidth="1"/>
  </cols>
  <sheetData>
    <row r="1" customFormat="1" spans="1:4">
      <c r="A1" s="1" t="s">
        <v>0</v>
      </c>
      <c r="C1" s="17"/>
      <c r="D1" s="17"/>
    </row>
    <row r="2" customFormat="1" spans="1:4">
      <c r="A2" s="1" t="s">
        <v>103</v>
      </c>
      <c r="B2" s="2"/>
      <c r="C2" s="17" t="s">
        <v>30</v>
      </c>
      <c r="D2" s="19" t="s">
        <v>31</v>
      </c>
    </row>
    <row r="3" customFormat="1" spans="1:8">
      <c r="A3" s="1" t="s">
        <v>32</v>
      </c>
      <c r="B3" s="2"/>
      <c r="C3" s="17" t="s">
        <v>2</v>
      </c>
      <c r="D3" s="55">
        <v>45989</v>
      </c>
      <c r="G3" s="21"/>
      <c r="H3" s="22"/>
    </row>
    <row r="4" s="16" customFormat="1" spans="1:5">
      <c r="A4" s="23" t="s">
        <v>3</v>
      </c>
      <c r="B4" s="8" t="s">
        <v>33</v>
      </c>
      <c r="C4" s="24" t="s">
        <v>34</v>
      </c>
      <c r="D4" s="24" t="s">
        <v>35</v>
      </c>
      <c r="E4" s="14" t="s">
        <v>36</v>
      </c>
    </row>
    <row r="5" customFormat="1" spans="1:5">
      <c r="A5" s="25">
        <v>1</v>
      </c>
      <c r="B5" t="s">
        <v>37</v>
      </c>
      <c r="D5" s="26"/>
      <c r="E5" s="26"/>
    </row>
    <row r="6" customFormat="1" spans="1:5">
      <c r="A6" s="25">
        <v>2</v>
      </c>
      <c r="B6" t="s">
        <v>38</v>
      </c>
      <c r="D6" s="26"/>
      <c r="E6" s="26"/>
    </row>
    <row r="7" customFormat="1" spans="1:5">
      <c r="A7" s="25">
        <v>3</v>
      </c>
      <c r="B7" t="s">
        <v>39</v>
      </c>
      <c r="D7" s="26"/>
      <c r="E7" s="26"/>
    </row>
    <row r="8" customFormat="1" spans="1:5">
      <c r="A8" s="25">
        <v>4</v>
      </c>
      <c r="B8" t="s">
        <v>40</v>
      </c>
      <c r="D8" s="26"/>
      <c r="E8" s="26"/>
    </row>
    <row r="9" customFormat="1" spans="1:5">
      <c r="A9" s="25">
        <v>5</v>
      </c>
      <c r="B9" t="s">
        <v>41</v>
      </c>
      <c r="D9" s="26"/>
      <c r="E9" s="26"/>
    </row>
    <row r="10" customFormat="1" ht="34.05" customHeight="1" spans="1:5">
      <c r="A10" s="25">
        <v>6</v>
      </c>
      <c r="B10" t="s">
        <v>42</v>
      </c>
      <c r="D10" s="53">
        <f>530+1180</f>
        <v>1710</v>
      </c>
      <c r="E10" s="54" t="s">
        <v>91</v>
      </c>
    </row>
    <row r="11" customFormat="1" spans="1:5">
      <c r="A11" s="25">
        <v>7</v>
      </c>
      <c r="B11" t="s">
        <v>42</v>
      </c>
      <c r="D11" s="26">
        <v>35374</v>
      </c>
      <c r="E11" s="26" t="s">
        <v>104</v>
      </c>
    </row>
    <row r="12" customFormat="1" spans="1:5">
      <c r="A12" s="25">
        <v>8</v>
      </c>
      <c r="B12" s="32" t="s">
        <v>44</v>
      </c>
      <c r="C12" s="32"/>
      <c r="D12" s="33">
        <f>SUM(D5:D11)</f>
        <v>37084</v>
      </c>
      <c r="E12" s="33"/>
    </row>
    <row r="13" ht="51" spans="1:6">
      <c r="A13" s="25">
        <v>9</v>
      </c>
      <c r="B13" s="7" t="s">
        <v>45</v>
      </c>
      <c r="C13" s="34" t="s">
        <v>46</v>
      </c>
      <c r="D13" s="34" t="s">
        <v>47</v>
      </c>
      <c r="E13" s="34" t="s">
        <v>48</v>
      </c>
      <c r="F13" s="16"/>
    </row>
    <row r="14" customFormat="1" spans="1:5">
      <c r="A14" s="25">
        <v>10</v>
      </c>
      <c r="B14" t="s">
        <v>49</v>
      </c>
      <c r="C14" s="19"/>
      <c r="D14" s="19">
        <v>0</v>
      </c>
      <c r="E14" s="2"/>
    </row>
    <row r="15" customFormat="1" spans="1:5">
      <c r="A15" s="25">
        <v>11</v>
      </c>
      <c r="B15" t="s">
        <v>50</v>
      </c>
      <c r="C15" s="17"/>
      <c r="D15" s="19">
        <v>3460</v>
      </c>
      <c r="E15" s="2"/>
    </row>
    <row r="16" customFormat="1" spans="1:6">
      <c r="A16" s="25">
        <v>12</v>
      </c>
      <c r="B16" t="s">
        <v>51</v>
      </c>
      <c r="C16" s="17"/>
      <c r="D16" s="19">
        <f>D15-D14-D12</f>
        <v>-33624</v>
      </c>
      <c r="E16" s="35"/>
      <c r="F16" s="35"/>
    </row>
    <row r="17" customFormat="1" spans="1:5">
      <c r="A17" s="25">
        <v>13</v>
      </c>
      <c r="B17" t="s">
        <v>52</v>
      </c>
      <c r="C17" s="17"/>
      <c r="D17" s="19"/>
      <c r="E17" s="35"/>
    </row>
    <row r="18" customFormat="1" spans="1:5">
      <c r="A18" s="25">
        <v>14</v>
      </c>
      <c r="B18" t="s">
        <v>53</v>
      </c>
      <c r="C18" s="17"/>
      <c r="D18" s="17">
        <f>SUM(D16:D17)</f>
        <v>-33624</v>
      </c>
      <c r="E18" s="35"/>
    </row>
    <row r="19" customFormat="1" spans="1:5">
      <c r="A19" s="25">
        <v>15</v>
      </c>
      <c r="B19" s="32" t="s">
        <v>54</v>
      </c>
      <c r="C19" s="36"/>
      <c r="D19" s="36"/>
      <c r="E19" s="36"/>
    </row>
    <row r="20" customFormat="1" spans="1:5">
      <c r="A20" s="25">
        <v>16</v>
      </c>
      <c r="B20" t="s">
        <v>55</v>
      </c>
      <c r="C20" s="17"/>
      <c r="D20" s="17"/>
      <c r="E20" s="35"/>
    </row>
    <row r="21" customFormat="1" spans="1:4">
      <c r="A21" s="25">
        <v>17</v>
      </c>
      <c r="B21" t="s">
        <v>56</v>
      </c>
      <c r="C21" s="17"/>
      <c r="D21" s="17"/>
    </row>
    <row r="22" customFormat="1" spans="1:5">
      <c r="A22" s="25">
        <v>18</v>
      </c>
      <c r="B22" t="s">
        <v>57</v>
      </c>
      <c r="C22" s="17"/>
      <c r="D22" s="17"/>
      <c r="E22" s="35"/>
    </row>
    <row r="23" customFormat="1" spans="1:5">
      <c r="A23" s="25">
        <v>19</v>
      </c>
      <c r="B23" t="s">
        <v>57</v>
      </c>
      <c r="C23" s="17"/>
      <c r="D23" s="17"/>
      <c r="E23" s="35"/>
    </row>
    <row r="24" customFormat="1" spans="1:5">
      <c r="A24" s="25">
        <v>20</v>
      </c>
      <c r="B24" t="s">
        <v>57</v>
      </c>
      <c r="C24" s="17"/>
      <c r="D24" s="17"/>
      <c r="E24" s="35"/>
    </row>
    <row r="25" customFormat="1" spans="1:5">
      <c r="A25" s="25">
        <v>21</v>
      </c>
      <c r="B25" t="s">
        <v>57</v>
      </c>
      <c r="C25" s="17"/>
      <c r="D25" s="17"/>
      <c r="E25" s="35"/>
    </row>
    <row r="26" customFormat="1" spans="1:4">
      <c r="A26" s="25">
        <v>22</v>
      </c>
      <c r="B26" t="s">
        <v>58</v>
      </c>
      <c r="C26" s="17"/>
      <c r="D26" s="17"/>
    </row>
    <row r="27" customFormat="1" spans="1:4">
      <c r="A27" s="25">
        <v>23</v>
      </c>
      <c r="B27" t="s">
        <v>59</v>
      </c>
      <c r="C27" s="17"/>
      <c r="D27" s="17"/>
    </row>
    <row r="28" customFormat="1" spans="1:4">
      <c r="A28" s="25">
        <v>24</v>
      </c>
      <c r="B28" t="s">
        <v>60</v>
      </c>
      <c r="C28" s="17"/>
      <c r="D28" s="17">
        <f>SUM(D20:D25)-D26-D27</f>
        <v>0</v>
      </c>
    </row>
    <row r="29" customFormat="1" spans="1:5">
      <c r="A29" s="25">
        <v>25</v>
      </c>
      <c r="B29" s="32" t="s">
        <v>61</v>
      </c>
      <c r="C29" s="36"/>
      <c r="D29" s="36"/>
      <c r="E29" s="36"/>
    </row>
    <row r="30" customFormat="1" spans="1:4">
      <c r="A30" s="25">
        <v>26</v>
      </c>
      <c r="B30" t="s">
        <v>62</v>
      </c>
      <c r="C30" s="37"/>
      <c r="D30" s="38">
        <v>0</v>
      </c>
    </row>
    <row r="31" customFormat="1" spans="1:5">
      <c r="A31" s="25">
        <v>27</v>
      </c>
      <c r="B31" t="s">
        <v>63</v>
      </c>
      <c r="C31" s="19"/>
      <c r="D31" s="17">
        <v>0</v>
      </c>
      <c r="E31" s="35"/>
    </row>
    <row r="32" customFormat="1" spans="1:5">
      <c r="A32" s="25">
        <v>28</v>
      </c>
      <c r="B32" s="8" t="s">
        <v>45</v>
      </c>
      <c r="C32" s="32"/>
      <c r="D32" s="39" t="s">
        <v>35</v>
      </c>
      <c r="E32" s="8" t="s">
        <v>48</v>
      </c>
    </row>
    <row r="33" customFormat="1" spans="1:4">
      <c r="A33" s="25">
        <v>29</v>
      </c>
      <c r="B33" t="s">
        <v>64</v>
      </c>
      <c r="D33" s="26"/>
    </row>
    <row r="34" customFormat="1" spans="1:4">
      <c r="A34" s="25">
        <v>30</v>
      </c>
      <c r="B34" t="s">
        <v>65</v>
      </c>
      <c r="D34" s="26"/>
    </row>
    <row r="35" customFormat="1" spans="1:4">
      <c r="A35" s="25">
        <v>31</v>
      </c>
      <c r="B35" t="s">
        <v>66</v>
      </c>
      <c r="D35" s="26"/>
    </row>
    <row r="36" customFormat="1" spans="1:5">
      <c r="A36" s="25">
        <v>32</v>
      </c>
      <c r="B36" s="32" t="s">
        <v>67</v>
      </c>
      <c r="C36" s="32"/>
      <c r="D36" s="33">
        <f>SUM(D33:D35)</f>
        <v>0</v>
      </c>
      <c r="E36" s="32"/>
    </row>
    <row r="37" customFormat="1" spans="1:4">
      <c r="A37" s="25">
        <v>33</v>
      </c>
      <c r="B37" t="s">
        <v>68</v>
      </c>
      <c r="D37" s="26"/>
    </row>
    <row r="38" customFormat="1" spans="1:4">
      <c r="A38" s="25">
        <v>34</v>
      </c>
      <c r="B38" t="s">
        <v>69</v>
      </c>
      <c r="D38" s="26"/>
    </row>
    <row r="39" customFormat="1" spans="1:5">
      <c r="A39" s="25">
        <v>35</v>
      </c>
      <c r="B39" s="32" t="s">
        <v>70</v>
      </c>
      <c r="C39" s="32"/>
      <c r="D39" s="33">
        <f>SUM(D37:D38)</f>
        <v>0</v>
      </c>
      <c r="E39" s="32"/>
    </row>
    <row r="40" customFormat="1" spans="1:5">
      <c r="A40" s="25">
        <v>36</v>
      </c>
      <c r="B40" s="32" t="s">
        <v>71</v>
      </c>
      <c r="C40" s="32"/>
      <c r="D40" s="33">
        <f>D36-D39</f>
        <v>0</v>
      </c>
      <c r="E40" s="32"/>
    </row>
    <row r="41" spans="1:9">
      <c r="A41" s="25">
        <v>37</v>
      </c>
      <c r="B41" t="s">
        <v>72</v>
      </c>
      <c r="C41"/>
      <c r="D41"/>
      <c r="E41" s="17"/>
      <c r="F41" s="38"/>
      <c r="G41" s="38"/>
      <c r="H41" s="38"/>
      <c r="I41" s="38"/>
    </row>
    <row r="42" customFormat="1" spans="1:9">
      <c r="A42" s="25">
        <v>38</v>
      </c>
      <c r="B42" s="7" t="s">
        <v>73</v>
      </c>
      <c r="C42" s="34" t="s">
        <v>74</v>
      </c>
      <c r="D42" s="34" t="s">
        <v>75</v>
      </c>
      <c r="E42" s="32" t="s">
        <v>76</v>
      </c>
      <c r="G42" s="40"/>
      <c r="H42" s="40"/>
      <c r="I42" s="40"/>
    </row>
    <row r="43" spans="1:9">
      <c r="A43" s="25">
        <v>39</v>
      </c>
      <c r="B43" s="48"/>
      <c r="C43" s="49"/>
      <c r="D43" s="2"/>
      <c r="E43" s="19"/>
      <c r="F43" s="37"/>
      <c r="G43" s="44"/>
      <c r="H43" s="37"/>
      <c r="I43" s="37"/>
    </row>
    <row r="44" spans="1:9">
      <c r="A44" s="25">
        <v>40</v>
      </c>
      <c r="B44" s="48"/>
      <c r="C44" s="49"/>
      <c r="D44" s="2"/>
      <c r="E44" s="19"/>
      <c r="F44" s="37"/>
      <c r="G44" s="44"/>
      <c r="H44" s="37"/>
      <c r="I44" s="37"/>
    </row>
    <row r="45" spans="1:9">
      <c r="A45" s="25">
        <v>41</v>
      </c>
      <c r="B45" s="48"/>
      <c r="C45" s="49"/>
      <c r="D45" s="2"/>
      <c r="E45" s="19"/>
      <c r="F45" s="37"/>
      <c r="G45" s="44"/>
      <c r="H45" s="37"/>
      <c r="I45" s="37"/>
    </row>
    <row r="46" spans="1:9">
      <c r="A46" s="25">
        <v>42</v>
      </c>
      <c r="B46" s="48"/>
      <c r="C46" s="49"/>
      <c r="D46" s="2"/>
      <c r="E46" s="19"/>
      <c r="F46" s="37"/>
      <c r="G46" s="44"/>
      <c r="H46" s="37"/>
      <c r="I46" s="37"/>
    </row>
    <row r="47" spans="1:9">
      <c r="A47" s="25">
        <v>43</v>
      </c>
      <c r="B47" s="48"/>
      <c r="C47" s="49"/>
      <c r="D47" s="2"/>
      <c r="E47" s="19"/>
      <c r="F47" s="37"/>
      <c r="G47" s="44"/>
      <c r="H47" s="37"/>
      <c r="I47" s="37"/>
    </row>
    <row r="48" spans="1:9">
      <c r="A48" s="25">
        <v>44</v>
      </c>
      <c r="B48" s="48"/>
      <c r="C48" s="49"/>
      <c r="D48" s="2"/>
      <c r="E48" s="19"/>
      <c r="F48" s="37"/>
      <c r="G48" s="37"/>
      <c r="H48" s="37"/>
      <c r="I48" s="37"/>
    </row>
    <row r="49" spans="1:9">
      <c r="A49" s="25">
        <v>45</v>
      </c>
      <c r="B49" s="32" t="s">
        <v>77</v>
      </c>
      <c r="C49" s="50"/>
      <c r="D49" s="50"/>
      <c r="E49" s="52">
        <f>SUM(E43:E48)</f>
        <v>0</v>
      </c>
      <c r="F49" s="37"/>
      <c r="G49" s="37"/>
      <c r="H49" s="37"/>
      <c r="I49" s="37"/>
    </row>
  </sheetData>
  <printOptions gridLines="1"/>
  <pageMargins left="0.75" right="0.75" top="1" bottom="1" header="0.5" footer="0.5"/>
  <pageSetup paperSize="9" scale="83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"/>
  <sheetViews>
    <sheetView view="pageBreakPreview" zoomScaleNormal="100" topLeftCell="A30" workbookViewId="0">
      <selection activeCell="J52" sqref="J52"/>
    </sheetView>
  </sheetViews>
  <sheetFormatPr defaultColWidth="8.77777777777778" defaultRowHeight="12.75" outlineLevelCol="7"/>
  <cols>
    <col min="1" max="1" width="5.33333333333333" style="1" customWidth="1"/>
    <col min="2" max="2" width="39.7777777777778" customWidth="1"/>
    <col min="3" max="3" width="13.4444444444444" style="17" customWidth="1"/>
    <col min="4" max="4" width="12.7777777777778" style="17" customWidth="1"/>
    <col min="5" max="5" width="47.1666666666667" customWidth="1"/>
  </cols>
  <sheetData>
    <row r="1" spans="1:1">
      <c r="A1" s="1" t="s">
        <v>0</v>
      </c>
    </row>
    <row r="2" spans="1:4">
      <c r="A2" s="1" t="s">
        <v>105</v>
      </c>
      <c r="B2" s="2"/>
      <c r="C2" s="17" t="s">
        <v>30</v>
      </c>
      <c r="D2" s="60" t="s">
        <v>31</v>
      </c>
    </row>
    <row r="3" spans="1:7">
      <c r="A3" s="1" t="s">
        <v>106</v>
      </c>
      <c r="B3" s="2"/>
      <c r="C3" s="17" t="s">
        <v>2</v>
      </c>
      <c r="D3" s="55">
        <v>45933</v>
      </c>
      <c r="F3" s="21"/>
      <c r="G3" s="22"/>
    </row>
    <row r="4" s="16" customFormat="1" spans="1:5">
      <c r="A4" s="23" t="s">
        <v>3</v>
      </c>
      <c r="B4" s="8" t="s">
        <v>33</v>
      </c>
      <c r="C4" s="24" t="s">
        <v>34</v>
      </c>
      <c r="D4" s="24" t="s">
        <v>35</v>
      </c>
      <c r="E4" s="14" t="s">
        <v>36</v>
      </c>
    </row>
    <row r="5" spans="1:5">
      <c r="A5" s="25">
        <v>1</v>
      </c>
      <c r="B5" t="s">
        <v>37</v>
      </c>
      <c r="C5"/>
      <c r="D5" s="26"/>
      <c r="E5" s="26"/>
    </row>
    <row r="6" spans="1:5">
      <c r="A6" s="25">
        <v>2</v>
      </c>
      <c r="B6" t="s">
        <v>38</v>
      </c>
      <c r="C6"/>
      <c r="D6" s="26"/>
      <c r="E6" s="26"/>
    </row>
    <row r="7" spans="1:5">
      <c r="A7" s="25">
        <v>3</v>
      </c>
      <c r="B7" t="s">
        <v>39</v>
      </c>
      <c r="C7"/>
      <c r="D7" s="26"/>
      <c r="E7" s="26"/>
    </row>
    <row r="8" spans="1:5">
      <c r="A8" s="25">
        <v>4</v>
      </c>
      <c r="B8" t="s">
        <v>40</v>
      </c>
      <c r="C8"/>
      <c r="D8" s="26"/>
      <c r="E8" s="26"/>
    </row>
    <row r="9" spans="1:5">
      <c r="A9" s="25">
        <v>5</v>
      </c>
      <c r="B9" t="s">
        <v>41</v>
      </c>
      <c r="C9"/>
      <c r="D9" s="26"/>
      <c r="E9" s="26"/>
    </row>
    <row r="10" ht="12" customHeight="1" spans="1:5">
      <c r="A10" s="25">
        <v>6</v>
      </c>
      <c r="B10" t="s">
        <v>42</v>
      </c>
      <c r="C10"/>
      <c r="D10" s="26">
        <v>129</v>
      </c>
      <c r="E10" s="26" t="s">
        <v>107</v>
      </c>
    </row>
    <row r="11" ht="12" customHeight="1" spans="1:5">
      <c r="A11" s="25">
        <v>7</v>
      </c>
      <c r="B11" t="s">
        <v>42</v>
      </c>
      <c r="C11"/>
      <c r="D11" s="26">
        <f>18775+13836</f>
        <v>32611</v>
      </c>
      <c r="E11" s="66" t="s">
        <v>108</v>
      </c>
    </row>
    <row r="12" ht="12" customHeight="1" spans="1:5">
      <c r="A12" s="25">
        <v>8</v>
      </c>
      <c r="B12" t="s">
        <v>42</v>
      </c>
      <c r="C12"/>
      <c r="D12" s="26">
        <v>4455</v>
      </c>
      <c r="E12" s="26" t="s">
        <v>87</v>
      </c>
    </row>
    <row r="13" ht="12" customHeight="1" spans="1:5">
      <c r="A13" s="25">
        <v>9</v>
      </c>
      <c r="B13" t="s">
        <v>42</v>
      </c>
      <c r="C13"/>
      <c r="D13" s="26">
        <v>40000</v>
      </c>
      <c r="E13" s="26" t="s">
        <v>109</v>
      </c>
    </row>
    <row r="14" ht="12" customHeight="1" spans="1:5">
      <c r="A14" s="25">
        <v>10</v>
      </c>
      <c r="B14" t="s">
        <v>42</v>
      </c>
      <c r="C14"/>
      <c r="D14" s="26">
        <v>587</v>
      </c>
      <c r="E14" s="26" t="s">
        <v>110</v>
      </c>
    </row>
    <row r="15" ht="39" customHeight="1" spans="1:5">
      <c r="A15" s="25">
        <v>11</v>
      </c>
      <c r="B15" t="s">
        <v>42</v>
      </c>
      <c r="C15"/>
      <c r="D15" s="53">
        <f>18775+5900+1770</f>
        <v>26445</v>
      </c>
      <c r="E15" s="54" t="s">
        <v>111</v>
      </c>
    </row>
    <row r="16" spans="1:5">
      <c r="A16" s="25">
        <v>12</v>
      </c>
      <c r="B16" s="32" t="s">
        <v>44</v>
      </c>
      <c r="C16" s="32"/>
      <c r="D16" s="33">
        <f>SUM(D5:D15)</f>
        <v>104227</v>
      </c>
      <c r="E16" s="33"/>
    </row>
    <row r="17" ht="51" spans="1:5">
      <c r="A17" s="25">
        <v>13</v>
      </c>
      <c r="B17" s="7" t="s">
        <v>45</v>
      </c>
      <c r="C17" s="34" t="s">
        <v>46</v>
      </c>
      <c r="D17" s="34" t="s">
        <v>47</v>
      </c>
      <c r="E17" s="34" t="s">
        <v>48</v>
      </c>
    </row>
    <row r="18" spans="1:5">
      <c r="A18" s="25">
        <v>14</v>
      </c>
      <c r="B18" t="s">
        <v>49</v>
      </c>
      <c r="C18" s="19"/>
      <c r="D18" s="19">
        <v>0</v>
      </c>
      <c r="E18" s="2"/>
    </row>
    <row r="19" spans="1:5">
      <c r="A19" s="25">
        <v>15</v>
      </c>
      <c r="B19" t="s">
        <v>50</v>
      </c>
      <c r="D19" s="19">
        <v>2635</v>
      </c>
      <c r="E19" s="2"/>
    </row>
    <row r="20" spans="1:5">
      <c r="A20" s="25">
        <v>16</v>
      </c>
      <c r="B20" t="s">
        <v>51</v>
      </c>
      <c r="D20" s="19">
        <f>D19-D18-D16</f>
        <v>-101592</v>
      </c>
      <c r="E20" s="35"/>
    </row>
    <row r="21" spans="1:5">
      <c r="A21" s="25">
        <v>17</v>
      </c>
      <c r="B21" t="s">
        <v>52</v>
      </c>
      <c r="D21" s="19">
        <v>0</v>
      </c>
      <c r="E21" s="35"/>
    </row>
    <row r="22" spans="1:5">
      <c r="A22" s="25">
        <v>18</v>
      </c>
      <c r="B22" t="s">
        <v>53</v>
      </c>
      <c r="D22" s="17">
        <f>SUM(D20:D21)</f>
        <v>-101592</v>
      </c>
      <c r="E22" s="35"/>
    </row>
    <row r="23" spans="1:5">
      <c r="A23" s="25">
        <v>19</v>
      </c>
      <c r="B23" s="32" t="s">
        <v>54</v>
      </c>
      <c r="C23" s="36"/>
      <c r="D23" s="36"/>
      <c r="E23" s="36"/>
    </row>
    <row r="24" spans="1:5">
      <c r="A24" s="25">
        <v>20</v>
      </c>
      <c r="B24" t="s">
        <v>55</v>
      </c>
      <c r="E24" s="35"/>
    </row>
    <row r="25" spans="1:2">
      <c r="A25" s="25">
        <v>21</v>
      </c>
      <c r="B25" t="s">
        <v>56</v>
      </c>
    </row>
    <row r="26" spans="1:5">
      <c r="A26" s="25">
        <v>22</v>
      </c>
      <c r="B26" t="s">
        <v>57</v>
      </c>
      <c r="E26" s="35"/>
    </row>
    <row r="27" spans="1:5">
      <c r="A27" s="25">
        <v>23</v>
      </c>
      <c r="B27" t="s">
        <v>57</v>
      </c>
      <c r="E27" s="35"/>
    </row>
    <row r="28" spans="1:5">
      <c r="A28" s="25">
        <v>24</v>
      </c>
      <c r="B28" t="s">
        <v>57</v>
      </c>
      <c r="E28" s="35"/>
    </row>
    <row r="29" spans="1:5">
      <c r="A29" s="25">
        <v>25</v>
      </c>
      <c r="B29" t="s">
        <v>57</v>
      </c>
      <c r="E29" s="35"/>
    </row>
    <row r="30" spans="1:2">
      <c r="A30" s="25">
        <v>26</v>
      </c>
      <c r="B30" t="s">
        <v>58</v>
      </c>
    </row>
    <row r="31" spans="1:2">
      <c r="A31" s="25">
        <v>27</v>
      </c>
      <c r="B31" t="s">
        <v>59</v>
      </c>
    </row>
    <row r="32" spans="1:4">
      <c r="A32" s="25">
        <v>28</v>
      </c>
      <c r="B32" t="s">
        <v>60</v>
      </c>
      <c r="D32" s="17">
        <f>SUM(D24:D29)-D30-D31</f>
        <v>0</v>
      </c>
    </row>
    <row r="33" spans="1:5">
      <c r="A33" s="25">
        <v>29</v>
      </c>
      <c r="B33" s="32" t="s">
        <v>61</v>
      </c>
      <c r="C33" s="36"/>
      <c r="D33" s="36"/>
      <c r="E33" s="36"/>
    </row>
    <row r="34" spans="1:4">
      <c r="A34" s="25">
        <v>30</v>
      </c>
      <c r="B34" t="s">
        <v>62</v>
      </c>
      <c r="C34" s="37"/>
      <c r="D34" s="38">
        <v>0</v>
      </c>
    </row>
    <row r="35" spans="1:5">
      <c r="A35" s="25">
        <v>31</v>
      </c>
      <c r="B35" t="s">
        <v>63</v>
      </c>
      <c r="C35" s="19"/>
      <c r="D35" s="17">
        <v>0</v>
      </c>
      <c r="E35" s="35"/>
    </row>
    <row r="36" spans="1:5">
      <c r="A36" s="25">
        <v>32</v>
      </c>
      <c r="B36" s="8" t="s">
        <v>45</v>
      </c>
      <c r="C36" s="32"/>
      <c r="D36" s="39" t="s">
        <v>35</v>
      </c>
      <c r="E36" s="8" t="s">
        <v>48</v>
      </c>
    </row>
    <row r="37" spans="1:4">
      <c r="A37" s="25">
        <v>33</v>
      </c>
      <c r="B37" t="s">
        <v>64</v>
      </c>
      <c r="C37"/>
      <c r="D37" s="26"/>
    </row>
    <row r="38" spans="1:4">
      <c r="A38" s="25">
        <v>34</v>
      </c>
      <c r="B38" t="s">
        <v>65</v>
      </c>
      <c r="C38"/>
      <c r="D38" s="26"/>
    </row>
    <row r="39" spans="1:4">
      <c r="A39" s="25">
        <v>35</v>
      </c>
      <c r="B39" t="s">
        <v>66</v>
      </c>
      <c r="C39"/>
      <c r="D39" s="26"/>
    </row>
    <row r="40" spans="1:5">
      <c r="A40" s="25">
        <v>36</v>
      </c>
      <c r="B40" s="32" t="s">
        <v>67</v>
      </c>
      <c r="C40" s="32"/>
      <c r="D40" s="33">
        <f>SUM(D37:D39)</f>
        <v>0</v>
      </c>
      <c r="E40" s="32"/>
    </row>
    <row r="41" spans="1:4">
      <c r="A41" s="25">
        <v>37</v>
      </c>
      <c r="B41" t="s">
        <v>68</v>
      </c>
      <c r="C41"/>
      <c r="D41" s="26"/>
    </row>
    <row r="42" spans="1:4">
      <c r="A42" s="25">
        <v>38</v>
      </c>
      <c r="B42" t="s">
        <v>69</v>
      </c>
      <c r="C42"/>
      <c r="D42" s="26"/>
    </row>
    <row r="43" spans="1:5">
      <c r="A43" s="25">
        <v>39</v>
      </c>
      <c r="B43" s="32" t="s">
        <v>70</v>
      </c>
      <c r="C43" s="32"/>
      <c r="D43" s="33">
        <f>SUM(D41:D42)</f>
        <v>0</v>
      </c>
      <c r="E43" s="32"/>
    </row>
    <row r="44" spans="1:5">
      <c r="A44" s="25">
        <v>40</v>
      </c>
      <c r="B44" s="32" t="s">
        <v>71</v>
      </c>
      <c r="C44" s="32"/>
      <c r="D44" s="33">
        <f>D40-D43</f>
        <v>0</v>
      </c>
      <c r="E44" s="32"/>
    </row>
    <row r="45" spans="1:8">
      <c r="A45" s="25">
        <v>41</v>
      </c>
      <c r="B45" t="s">
        <v>72</v>
      </c>
      <c r="C45"/>
      <c r="D45"/>
      <c r="E45" s="17"/>
      <c r="F45" s="38"/>
      <c r="G45" s="38"/>
      <c r="H45" s="38"/>
    </row>
    <row r="46" spans="1:8">
      <c r="A46" s="25">
        <v>42</v>
      </c>
      <c r="B46" s="7" t="s">
        <v>73</v>
      </c>
      <c r="C46" s="34" t="s">
        <v>74</v>
      </c>
      <c r="D46" s="34" t="s">
        <v>75</v>
      </c>
      <c r="E46" s="32" t="s">
        <v>76</v>
      </c>
      <c r="F46" s="40"/>
      <c r="G46" s="40"/>
      <c r="H46" s="40"/>
    </row>
    <row r="47" spans="1:8">
      <c r="A47" s="25">
        <v>43</v>
      </c>
      <c r="B47" s="48"/>
      <c r="C47" s="49"/>
      <c r="D47" s="2"/>
      <c r="E47" s="19"/>
      <c r="F47" s="44"/>
      <c r="G47" s="37"/>
      <c r="H47" s="37"/>
    </row>
    <row r="48" spans="1:8">
      <c r="A48" s="25">
        <v>44</v>
      </c>
      <c r="B48" s="48"/>
      <c r="C48" s="49"/>
      <c r="D48" s="2"/>
      <c r="E48" s="19"/>
      <c r="F48" s="44"/>
      <c r="G48" s="37"/>
      <c r="H48" s="37"/>
    </row>
    <row r="49" spans="1:8">
      <c r="A49" s="25">
        <v>45</v>
      </c>
      <c r="B49" s="48"/>
      <c r="C49" s="49"/>
      <c r="D49" s="2"/>
      <c r="E49" s="19"/>
      <c r="F49" s="44"/>
      <c r="G49" s="37"/>
      <c r="H49" s="37"/>
    </row>
    <row r="50" spans="1:8">
      <c r="A50" s="25">
        <v>46</v>
      </c>
      <c r="B50" s="48"/>
      <c r="C50" s="49"/>
      <c r="D50" s="2"/>
      <c r="E50" s="19"/>
      <c r="F50" s="44"/>
      <c r="G50" s="37"/>
      <c r="H50" s="37"/>
    </row>
    <row r="51" spans="1:8">
      <c r="A51" s="25">
        <v>47</v>
      </c>
      <c r="B51" s="48"/>
      <c r="C51" s="49"/>
      <c r="D51" s="2"/>
      <c r="E51" s="19"/>
      <c r="F51" s="44"/>
      <c r="G51" s="37"/>
      <c r="H51" s="37"/>
    </row>
    <row r="52" spans="1:8">
      <c r="A52" s="25">
        <v>48</v>
      </c>
      <c r="B52" s="48"/>
      <c r="C52" s="49"/>
      <c r="D52" s="2"/>
      <c r="E52" s="19"/>
      <c r="F52" s="44"/>
      <c r="G52" s="37"/>
      <c r="H52" s="37"/>
    </row>
    <row r="53" spans="1:8">
      <c r="A53" s="25">
        <v>49</v>
      </c>
      <c r="B53" s="48"/>
      <c r="C53" s="49"/>
      <c r="D53" s="2"/>
      <c r="E53" s="19"/>
      <c r="F53" s="37"/>
      <c r="G53" s="37"/>
      <c r="H53" s="37"/>
    </row>
    <row r="54" spans="1:8">
      <c r="A54" s="25">
        <v>50</v>
      </c>
      <c r="B54" s="48"/>
      <c r="C54" s="49"/>
      <c r="D54" s="2"/>
      <c r="E54" s="19"/>
      <c r="F54" s="44"/>
      <c r="G54" s="44"/>
      <c r="H54" s="44"/>
    </row>
    <row r="55" spans="1:8">
      <c r="A55" s="25">
        <v>51</v>
      </c>
      <c r="B55" s="48"/>
      <c r="C55" s="49"/>
      <c r="D55" s="2"/>
      <c r="E55" s="19"/>
      <c r="F55" s="44"/>
      <c r="G55" s="37"/>
      <c r="H55" s="37"/>
    </row>
    <row r="56" spans="1:8">
      <c r="A56" s="25">
        <v>52</v>
      </c>
      <c r="B56" s="48"/>
      <c r="C56" s="49"/>
      <c r="D56" s="2"/>
      <c r="E56" s="19"/>
      <c r="F56" s="37"/>
      <c r="G56" s="37"/>
      <c r="H56" s="37"/>
    </row>
    <row r="57" spans="1:8">
      <c r="A57" s="25">
        <v>53</v>
      </c>
      <c r="B57" s="32" t="s">
        <v>77</v>
      </c>
      <c r="C57" s="50"/>
      <c r="D57" s="50"/>
      <c r="E57" s="52">
        <f>SUM(E47:E56)</f>
        <v>0</v>
      </c>
      <c r="F57" s="37"/>
      <c r="G57" s="37"/>
      <c r="H57" s="37"/>
    </row>
  </sheetData>
  <sheetProtection selectLockedCells="1"/>
  <printOptions gridLines="1"/>
  <pageMargins left="0.708661417322835" right="0.708661417322835" top="0.748031496062992" bottom="0.748031496062992" header="0.31496062992126" footer="0.31496062992126"/>
  <pageSetup paperSize="9" scale="82" orientation="portrait" horizontalDpi="300" verticalDpi="300"/>
  <headerFooter>
    <oddHeader>&amp;C&amp;F 
&amp;A</oddHeader>
    <oddFooter>&amp;CPage &amp;P of &amp;N</oddFooter>
  </headerFooter>
  <colBreaks count="1" manualBreakCount="1">
    <brk id="5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3"/>
  <sheetViews>
    <sheetView view="pageBreakPreview" zoomScaleNormal="100" workbookViewId="0">
      <selection activeCell="H45" sqref="H45"/>
    </sheetView>
  </sheetViews>
  <sheetFormatPr defaultColWidth="8.77777777777778" defaultRowHeight="12.75"/>
  <cols>
    <col min="1" max="1" width="5.33333333333333" style="1" customWidth="1"/>
    <col min="2" max="2" width="39.7777777777778" customWidth="1"/>
    <col min="3" max="4" width="12.7777777777778" style="17" customWidth="1"/>
    <col min="5" max="5" width="41.3333333333333" customWidth="1"/>
    <col min="6" max="6" width="10" customWidth="1"/>
  </cols>
  <sheetData>
    <row r="1" customFormat="1" spans="1:4">
      <c r="A1" s="1" t="s">
        <v>0</v>
      </c>
      <c r="C1" s="17"/>
      <c r="D1" s="17"/>
    </row>
    <row r="2" customFormat="1" spans="1:4">
      <c r="A2" s="1" t="s">
        <v>112</v>
      </c>
      <c r="B2" s="2"/>
      <c r="C2" s="17" t="s">
        <v>30</v>
      </c>
      <c r="D2" s="19" t="s">
        <v>31</v>
      </c>
    </row>
    <row r="3" customFormat="1" spans="1:8">
      <c r="A3" s="1" t="s">
        <v>113</v>
      </c>
      <c r="B3" s="2"/>
      <c r="C3" s="17" t="s">
        <v>2</v>
      </c>
      <c r="D3" s="20">
        <v>45989</v>
      </c>
      <c r="G3" s="21"/>
      <c r="H3" s="22"/>
    </row>
    <row r="4" s="16" customFormat="1" spans="1:5">
      <c r="A4" s="23" t="s">
        <v>3</v>
      </c>
      <c r="B4" s="8" t="s">
        <v>33</v>
      </c>
      <c r="C4" s="24" t="s">
        <v>34</v>
      </c>
      <c r="D4" s="24" t="s">
        <v>35</v>
      </c>
      <c r="E4" s="14" t="s">
        <v>36</v>
      </c>
    </row>
    <row r="5" customFormat="1" spans="1:5">
      <c r="A5" s="25">
        <v>1</v>
      </c>
      <c r="B5" t="s">
        <v>37</v>
      </c>
      <c r="C5"/>
      <c r="D5" s="26"/>
      <c r="E5" s="26"/>
    </row>
    <row r="6" customFormat="1" spans="1:5">
      <c r="A6" s="25">
        <v>2</v>
      </c>
      <c r="B6" t="s">
        <v>38</v>
      </c>
      <c r="C6"/>
      <c r="D6" s="26"/>
      <c r="E6" s="26"/>
    </row>
    <row r="7" customFormat="1" spans="1:5">
      <c r="A7" s="25">
        <v>3</v>
      </c>
      <c r="B7" t="s">
        <v>39</v>
      </c>
      <c r="C7"/>
      <c r="D7" s="26"/>
      <c r="E7" s="26"/>
    </row>
    <row r="8" customFormat="1" spans="1:5">
      <c r="A8" s="25">
        <v>4</v>
      </c>
      <c r="B8" t="s">
        <v>40</v>
      </c>
      <c r="C8"/>
      <c r="D8" s="26"/>
      <c r="E8" s="26"/>
    </row>
    <row r="9" customFormat="1" spans="1:5">
      <c r="A9" s="25">
        <v>5</v>
      </c>
      <c r="B9" t="s">
        <v>41</v>
      </c>
      <c r="C9"/>
      <c r="D9" s="26"/>
      <c r="E9" s="26"/>
    </row>
    <row r="10" customFormat="1" ht="12" customHeight="1" spans="1:5">
      <c r="A10" s="25">
        <v>6</v>
      </c>
      <c r="B10" t="s">
        <v>42</v>
      </c>
      <c r="C10"/>
      <c r="D10" s="26">
        <v>4455</v>
      </c>
      <c r="E10" s="26" t="s">
        <v>87</v>
      </c>
    </row>
    <row r="11" customFormat="1" ht="38.25" spans="1:5">
      <c r="A11" s="25">
        <v>7</v>
      </c>
      <c r="B11" t="s">
        <v>42</v>
      </c>
      <c r="C11"/>
      <c r="D11" s="26">
        <v>9440</v>
      </c>
      <c r="E11" s="56" t="s">
        <v>114</v>
      </c>
    </row>
    <row r="12" customFormat="1" spans="1:5">
      <c r="A12" s="25">
        <v>8</v>
      </c>
      <c r="B12" s="32" t="s">
        <v>44</v>
      </c>
      <c r="C12" s="32"/>
      <c r="D12" s="33">
        <f>SUM(D5:D11)</f>
        <v>13895</v>
      </c>
      <c r="E12" s="33"/>
    </row>
    <row r="13" ht="51" spans="1:6">
      <c r="A13" s="25">
        <v>9</v>
      </c>
      <c r="B13" s="7" t="s">
        <v>45</v>
      </c>
      <c r="C13" s="34" t="s">
        <v>46</v>
      </c>
      <c r="D13" s="34" t="s">
        <v>47</v>
      </c>
      <c r="E13" s="34" t="s">
        <v>48</v>
      </c>
      <c r="F13" s="16"/>
    </row>
    <row r="14" customFormat="1" spans="1:5">
      <c r="A14" s="25">
        <v>10</v>
      </c>
      <c r="B14" t="s">
        <v>49</v>
      </c>
      <c r="C14" s="19"/>
      <c r="D14" s="19">
        <v>0</v>
      </c>
      <c r="E14" s="2"/>
    </row>
    <row r="15" customFormat="1" spans="1:5">
      <c r="A15" s="25">
        <v>11</v>
      </c>
      <c r="B15" t="s">
        <v>50</v>
      </c>
      <c r="C15" s="17"/>
      <c r="D15" s="19">
        <v>-897154</v>
      </c>
      <c r="E15" s="2"/>
    </row>
    <row r="16" customFormat="1" spans="1:6">
      <c r="A16" s="25">
        <v>12</v>
      </c>
      <c r="B16" t="s">
        <v>51</v>
      </c>
      <c r="C16" s="17"/>
      <c r="D16" s="19">
        <f>D15-D14-D12</f>
        <v>-911049</v>
      </c>
      <c r="E16" s="35"/>
      <c r="F16" s="35"/>
    </row>
    <row r="17" customFormat="1" spans="1:5">
      <c r="A17" s="25">
        <v>13</v>
      </c>
      <c r="B17" t="s">
        <v>52</v>
      </c>
      <c r="C17" s="17"/>
      <c r="D17" s="19">
        <v>900000</v>
      </c>
      <c r="E17" s="35"/>
    </row>
    <row r="18" customFormat="1" spans="1:5">
      <c r="A18" s="25">
        <v>14</v>
      </c>
      <c r="B18" t="s">
        <v>53</v>
      </c>
      <c r="C18" s="17"/>
      <c r="D18" s="17">
        <f>SUM(D16:D17)</f>
        <v>-11049</v>
      </c>
      <c r="E18" s="35"/>
    </row>
    <row r="19" customFormat="1" spans="1:5">
      <c r="A19" s="25">
        <v>15</v>
      </c>
      <c r="B19" s="32" t="s">
        <v>54</v>
      </c>
      <c r="C19" s="36"/>
      <c r="D19" s="36"/>
      <c r="E19" s="36"/>
    </row>
    <row r="20" customFormat="1" spans="1:5">
      <c r="A20" s="25">
        <v>16</v>
      </c>
      <c r="B20" t="s">
        <v>55</v>
      </c>
      <c r="C20" s="17"/>
      <c r="D20" s="17"/>
      <c r="E20" s="35"/>
    </row>
    <row r="21" customFormat="1" spans="1:4">
      <c r="A21" s="25">
        <v>17</v>
      </c>
      <c r="B21" t="s">
        <v>56</v>
      </c>
      <c r="C21" s="17"/>
      <c r="D21" s="17"/>
    </row>
    <row r="22" customFormat="1" spans="1:5">
      <c r="A22" s="25">
        <v>18</v>
      </c>
      <c r="B22" t="s">
        <v>57</v>
      </c>
      <c r="C22" s="17"/>
      <c r="D22" s="17"/>
      <c r="E22" s="35"/>
    </row>
    <row r="23" customFormat="1" spans="1:5">
      <c r="A23" s="25">
        <v>19</v>
      </c>
      <c r="B23" t="s">
        <v>57</v>
      </c>
      <c r="C23" s="17"/>
      <c r="D23" s="17"/>
      <c r="E23" s="35"/>
    </row>
    <row r="24" customFormat="1" spans="1:5">
      <c r="A24" s="25">
        <v>20</v>
      </c>
      <c r="B24" t="s">
        <v>57</v>
      </c>
      <c r="C24" s="17"/>
      <c r="D24" s="17"/>
      <c r="E24" s="35"/>
    </row>
    <row r="25" customFormat="1" spans="1:5">
      <c r="A25" s="25">
        <v>21</v>
      </c>
      <c r="B25" t="s">
        <v>57</v>
      </c>
      <c r="C25" s="17"/>
      <c r="D25" s="17"/>
      <c r="E25" s="35"/>
    </row>
    <row r="26" customFormat="1" spans="1:4">
      <c r="A26" s="25">
        <v>22</v>
      </c>
      <c r="B26" t="s">
        <v>58</v>
      </c>
      <c r="C26" s="17"/>
      <c r="D26" s="17"/>
    </row>
    <row r="27" customFormat="1" spans="1:4">
      <c r="A27" s="25">
        <v>23</v>
      </c>
      <c r="B27" t="s">
        <v>59</v>
      </c>
      <c r="C27" s="17"/>
      <c r="D27" s="17"/>
    </row>
    <row r="28" customFormat="1" spans="1:4">
      <c r="A28" s="25">
        <v>24</v>
      </c>
      <c r="B28" t="s">
        <v>60</v>
      </c>
      <c r="C28" s="17"/>
      <c r="D28" s="17">
        <f>SUM(D20:D25)-D26-D27</f>
        <v>0</v>
      </c>
    </row>
    <row r="29" customFormat="1" spans="1:5">
      <c r="A29" s="25">
        <v>25</v>
      </c>
      <c r="B29" s="32" t="s">
        <v>61</v>
      </c>
      <c r="C29" s="36"/>
      <c r="D29" s="36"/>
      <c r="E29" s="36"/>
    </row>
    <row r="30" customFormat="1" spans="1:4">
      <c r="A30" s="25">
        <v>26</v>
      </c>
      <c r="B30" t="s">
        <v>62</v>
      </c>
      <c r="C30" s="37"/>
      <c r="D30" s="38">
        <v>0</v>
      </c>
    </row>
    <row r="31" customFormat="1" spans="1:5">
      <c r="A31" s="25">
        <v>27</v>
      </c>
      <c r="B31" t="s">
        <v>63</v>
      </c>
      <c r="C31" s="19"/>
      <c r="D31" s="17">
        <v>0</v>
      </c>
      <c r="E31" s="35"/>
    </row>
    <row r="32" customFormat="1" spans="1:5">
      <c r="A32" s="25">
        <v>28</v>
      </c>
      <c r="B32" s="8" t="s">
        <v>45</v>
      </c>
      <c r="C32" s="32"/>
      <c r="D32" s="39" t="s">
        <v>35</v>
      </c>
      <c r="E32" s="8" t="s">
        <v>48</v>
      </c>
    </row>
    <row r="33" customFormat="1" spans="1:4">
      <c r="A33" s="25">
        <v>29</v>
      </c>
      <c r="B33" t="s">
        <v>64</v>
      </c>
      <c r="C33"/>
      <c r="D33" s="26"/>
    </row>
    <row r="34" customFormat="1" spans="1:4">
      <c r="A34" s="25">
        <v>30</v>
      </c>
      <c r="B34" t="s">
        <v>65</v>
      </c>
      <c r="C34"/>
      <c r="D34" s="26"/>
    </row>
    <row r="35" customFormat="1" spans="1:4">
      <c r="A35" s="25">
        <v>31</v>
      </c>
      <c r="B35" t="s">
        <v>66</v>
      </c>
      <c r="C35"/>
      <c r="D35" s="26"/>
    </row>
    <row r="36" customFormat="1" spans="1:5">
      <c r="A36" s="25">
        <v>32</v>
      </c>
      <c r="B36" s="32" t="s">
        <v>67</v>
      </c>
      <c r="C36" s="32"/>
      <c r="D36" s="33">
        <f>SUM(D33:D35)</f>
        <v>0</v>
      </c>
      <c r="E36" s="32"/>
    </row>
    <row r="37" customFormat="1" spans="1:4">
      <c r="A37" s="25">
        <v>33</v>
      </c>
      <c r="B37" t="s">
        <v>68</v>
      </c>
      <c r="C37"/>
      <c r="D37" s="26"/>
    </row>
    <row r="38" customFormat="1" spans="1:4">
      <c r="A38" s="25">
        <v>34</v>
      </c>
      <c r="B38" t="s">
        <v>69</v>
      </c>
      <c r="C38"/>
      <c r="D38" s="26"/>
    </row>
    <row r="39" customFormat="1" spans="1:5">
      <c r="A39" s="25">
        <v>35</v>
      </c>
      <c r="B39" s="32" t="s">
        <v>70</v>
      </c>
      <c r="C39" s="32"/>
      <c r="D39" s="33">
        <f>SUM(D37:D38)</f>
        <v>0</v>
      </c>
      <c r="E39" s="32"/>
    </row>
    <row r="40" customFormat="1" spans="1:5">
      <c r="A40" s="25">
        <v>36</v>
      </c>
      <c r="B40" s="32" t="s">
        <v>71</v>
      </c>
      <c r="C40" s="32"/>
      <c r="D40" s="33">
        <f>D36-D39</f>
        <v>0</v>
      </c>
      <c r="E40" s="32"/>
    </row>
    <row r="41" spans="1:9">
      <c r="A41" s="25">
        <v>37</v>
      </c>
      <c r="B41" t="s">
        <v>72</v>
      </c>
      <c r="C41"/>
      <c r="D41"/>
      <c r="E41" s="17"/>
      <c r="F41" s="38"/>
      <c r="G41" s="38"/>
      <c r="H41" s="38"/>
      <c r="I41" s="38"/>
    </row>
    <row r="42" customFormat="1" spans="1:9">
      <c r="A42" s="25">
        <v>38</v>
      </c>
      <c r="B42" s="7" t="s">
        <v>73</v>
      </c>
      <c r="C42" s="34" t="s">
        <v>74</v>
      </c>
      <c r="D42" s="34" t="s">
        <v>75</v>
      </c>
      <c r="E42" s="32" t="s">
        <v>76</v>
      </c>
      <c r="G42" s="40"/>
      <c r="H42" s="40"/>
      <c r="I42" s="40"/>
    </row>
    <row r="43" spans="1:9">
      <c r="A43" s="25">
        <v>39</v>
      </c>
      <c r="B43" s="48"/>
      <c r="C43" s="49"/>
      <c r="D43" s="2"/>
      <c r="E43" s="19"/>
      <c r="F43" s="37"/>
      <c r="G43" s="44"/>
      <c r="H43" s="37"/>
      <c r="I43" s="37"/>
    </row>
    <row r="44" spans="1:9">
      <c r="A44" s="25">
        <v>40</v>
      </c>
      <c r="B44" s="48"/>
      <c r="C44" s="49"/>
      <c r="D44" s="2"/>
      <c r="E44" s="19"/>
      <c r="F44" s="37"/>
      <c r="G44" s="44"/>
      <c r="H44" s="37"/>
      <c r="I44" s="37"/>
    </row>
    <row r="45" spans="1:9">
      <c r="A45" s="25">
        <v>41</v>
      </c>
      <c r="B45" s="48"/>
      <c r="C45" s="49"/>
      <c r="D45" s="2"/>
      <c r="E45" s="19"/>
      <c r="F45" s="37"/>
      <c r="G45" s="44"/>
      <c r="H45" s="37"/>
      <c r="I45" s="37"/>
    </row>
    <row r="46" spans="1:9">
      <c r="A46" s="25">
        <v>42</v>
      </c>
      <c r="B46" s="48"/>
      <c r="C46" s="49"/>
      <c r="D46" s="2"/>
      <c r="E46" s="19"/>
      <c r="F46" s="37"/>
      <c r="G46" s="44"/>
      <c r="H46" s="37"/>
      <c r="I46" s="37"/>
    </row>
    <row r="47" spans="1:9">
      <c r="A47" s="25">
        <v>43</v>
      </c>
      <c r="B47" s="48"/>
      <c r="C47" s="49"/>
      <c r="D47" s="2"/>
      <c r="E47" s="19"/>
      <c r="F47" s="37"/>
      <c r="G47" s="44"/>
      <c r="H47" s="37"/>
      <c r="I47" s="37"/>
    </row>
    <row r="48" spans="1:9">
      <c r="A48" s="25">
        <v>44</v>
      </c>
      <c r="B48" s="48"/>
      <c r="C48" s="49"/>
      <c r="D48" s="2"/>
      <c r="E48" s="19"/>
      <c r="F48" s="37"/>
      <c r="G48" s="44"/>
      <c r="H48" s="37"/>
      <c r="I48" s="37"/>
    </row>
    <row r="49" spans="1:9">
      <c r="A49" s="25">
        <v>45</v>
      </c>
      <c r="B49" s="48"/>
      <c r="C49" s="49"/>
      <c r="D49" s="2"/>
      <c r="E49" s="19"/>
      <c r="F49" s="37"/>
      <c r="G49" s="37"/>
      <c r="H49" s="37"/>
      <c r="I49" s="37"/>
    </row>
    <row r="50" spans="1:9">
      <c r="A50" s="25">
        <v>46</v>
      </c>
      <c r="B50" s="48"/>
      <c r="C50" s="49"/>
      <c r="D50" s="2"/>
      <c r="E50" s="19"/>
      <c r="F50" s="37"/>
      <c r="G50" s="44"/>
      <c r="H50" s="44"/>
      <c r="I50" s="44"/>
    </row>
    <row r="51" spans="1:9">
      <c r="A51" s="25">
        <v>47</v>
      </c>
      <c r="B51" s="48"/>
      <c r="C51" s="49"/>
      <c r="D51" s="2"/>
      <c r="E51" s="19"/>
      <c r="F51" s="37"/>
      <c r="G51" s="44"/>
      <c r="H51" s="37"/>
      <c r="I51" s="37"/>
    </row>
    <row r="52" spans="1:9">
      <c r="A52" s="25">
        <v>48</v>
      </c>
      <c r="B52" s="48"/>
      <c r="C52" s="49"/>
      <c r="D52" s="2"/>
      <c r="E52" s="19"/>
      <c r="F52" s="37"/>
      <c r="G52" s="37"/>
      <c r="H52" s="37"/>
      <c r="I52" s="37"/>
    </row>
    <row r="53" spans="1:9">
      <c r="A53" s="25">
        <v>49</v>
      </c>
      <c r="B53" s="32" t="s">
        <v>77</v>
      </c>
      <c r="C53" s="50"/>
      <c r="D53" s="50"/>
      <c r="E53" s="52">
        <f>SUM(E43:E52)</f>
        <v>0</v>
      </c>
      <c r="F53" s="37"/>
      <c r="G53" s="37"/>
      <c r="H53" s="37"/>
      <c r="I53" s="37"/>
    </row>
  </sheetData>
  <printOptions gridLines="1"/>
  <pageMargins left="0.75" right="0.75" top="1" bottom="1" header="0.5" footer="0.5"/>
  <pageSetup paperSize="9" scale="85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3"/>
  <sheetViews>
    <sheetView view="pageBreakPreview" zoomScale="110" zoomScaleNormal="100" workbookViewId="0">
      <selection activeCell="D16" sqref="D16"/>
    </sheetView>
  </sheetViews>
  <sheetFormatPr defaultColWidth="8.77777777777778" defaultRowHeight="12.75"/>
  <cols>
    <col min="1" max="1" width="5.33333333333333" style="1" customWidth="1"/>
    <col min="2" max="2" width="39.7777777777778" customWidth="1"/>
    <col min="3" max="4" width="12.7777777777778" style="17" customWidth="1"/>
    <col min="5" max="5" width="36.3333333333333" customWidth="1"/>
    <col min="6" max="6" width="10" customWidth="1"/>
  </cols>
  <sheetData>
    <row r="1" spans="1:1">
      <c r="A1" s="1" t="s">
        <v>0</v>
      </c>
    </row>
    <row r="2" spans="1:4">
      <c r="A2" s="1" t="s">
        <v>112</v>
      </c>
      <c r="B2" s="2"/>
      <c r="C2" s="17" t="s">
        <v>30</v>
      </c>
      <c r="D2" s="19" t="s">
        <v>115</v>
      </c>
    </row>
    <row r="3" spans="1:8">
      <c r="A3" s="1" t="s">
        <v>113</v>
      </c>
      <c r="B3" s="2"/>
      <c r="C3" s="17" t="s">
        <v>2</v>
      </c>
      <c r="D3" s="20">
        <v>45898</v>
      </c>
      <c r="G3" s="21"/>
      <c r="H3" s="22"/>
    </row>
    <row r="4" s="16" customFormat="1" spans="1:5">
      <c r="A4" s="23" t="s">
        <v>3</v>
      </c>
      <c r="B4" s="8" t="s">
        <v>33</v>
      </c>
      <c r="C4" s="24" t="s">
        <v>34</v>
      </c>
      <c r="D4" s="24" t="s">
        <v>35</v>
      </c>
      <c r="E4" s="14" t="s">
        <v>36</v>
      </c>
    </row>
    <row r="5" spans="1:5">
      <c r="A5" s="25">
        <v>1</v>
      </c>
      <c r="B5" t="s">
        <v>37</v>
      </c>
      <c r="C5"/>
      <c r="D5" s="26"/>
      <c r="E5" s="26"/>
    </row>
    <row r="6" spans="1:5">
      <c r="A6" s="25">
        <v>2</v>
      </c>
      <c r="B6" t="s">
        <v>38</v>
      </c>
      <c r="C6"/>
      <c r="D6" s="26"/>
      <c r="E6" s="26"/>
    </row>
    <row r="7" spans="1:5">
      <c r="A7" s="25">
        <v>3</v>
      </c>
      <c r="B7" t="s">
        <v>39</v>
      </c>
      <c r="C7"/>
      <c r="D7" s="26"/>
      <c r="E7" s="26"/>
    </row>
    <row r="8" spans="1:5">
      <c r="A8" s="25">
        <v>4</v>
      </c>
      <c r="B8" t="s">
        <v>40</v>
      </c>
      <c r="C8"/>
      <c r="D8" s="26"/>
      <c r="E8" s="26"/>
    </row>
    <row r="9" spans="1:5">
      <c r="A9" s="25">
        <v>5</v>
      </c>
      <c r="B9" t="s">
        <v>41</v>
      </c>
      <c r="C9"/>
      <c r="D9" s="26"/>
      <c r="E9" s="26"/>
    </row>
    <row r="10" ht="12" customHeight="1" spans="1:5">
      <c r="A10" s="25">
        <v>6</v>
      </c>
      <c r="B10" t="s">
        <v>42</v>
      </c>
      <c r="C10"/>
      <c r="D10" s="26"/>
      <c r="E10" s="26"/>
    </row>
    <row r="11" ht="38.25" spans="1:5">
      <c r="A11" s="25">
        <v>7</v>
      </c>
      <c r="B11" t="s">
        <v>42</v>
      </c>
      <c r="C11"/>
      <c r="D11" s="26">
        <f>5900+1770</f>
        <v>7670</v>
      </c>
      <c r="E11" s="56" t="s">
        <v>116</v>
      </c>
    </row>
    <row r="12" spans="1:5">
      <c r="A12" s="65">
        <v>8</v>
      </c>
      <c r="B12" s="32" t="s">
        <v>44</v>
      </c>
      <c r="C12" s="32"/>
      <c r="D12" s="33">
        <f>SUM(D5:D11)</f>
        <v>7670</v>
      </c>
      <c r="E12" s="33"/>
    </row>
    <row r="13" ht="51" spans="1:6">
      <c r="A13" s="65">
        <v>9</v>
      </c>
      <c r="B13" s="7" t="s">
        <v>45</v>
      </c>
      <c r="C13" s="34" t="s">
        <v>46</v>
      </c>
      <c r="D13" s="34" t="s">
        <v>47</v>
      </c>
      <c r="E13" s="34" t="s">
        <v>48</v>
      </c>
      <c r="F13" s="16"/>
    </row>
    <row r="14" spans="1:5">
      <c r="A14" s="25">
        <v>10</v>
      </c>
      <c r="B14" t="s">
        <v>49</v>
      </c>
      <c r="C14" s="19"/>
      <c r="D14" s="19">
        <v>0</v>
      </c>
      <c r="E14" s="2"/>
    </row>
    <row r="15" spans="1:5">
      <c r="A15" s="25">
        <v>11</v>
      </c>
      <c r="B15" t="s">
        <v>50</v>
      </c>
      <c r="D15" s="19">
        <v>-875341</v>
      </c>
      <c r="E15" s="2"/>
    </row>
    <row r="16" spans="1:6">
      <c r="A16" s="25">
        <v>12</v>
      </c>
      <c r="B16" t="s">
        <v>51</v>
      </c>
      <c r="D16" s="19">
        <f>D15-D14-D12</f>
        <v>-883011</v>
      </c>
      <c r="E16" s="35"/>
      <c r="F16" s="35"/>
    </row>
    <row r="17" spans="1:5">
      <c r="A17" s="25">
        <v>13</v>
      </c>
      <c r="B17" t="s">
        <v>52</v>
      </c>
      <c r="D17" s="19">
        <v>900000</v>
      </c>
      <c r="E17" s="35"/>
    </row>
    <row r="18" spans="1:5">
      <c r="A18" s="25">
        <v>14</v>
      </c>
      <c r="B18" t="s">
        <v>53</v>
      </c>
      <c r="D18" s="17">
        <f>SUM(D16:D17)</f>
        <v>16989</v>
      </c>
      <c r="E18" s="35"/>
    </row>
    <row r="19" spans="1:5">
      <c r="A19" s="65">
        <v>15</v>
      </c>
      <c r="B19" s="32" t="s">
        <v>54</v>
      </c>
      <c r="C19" s="36"/>
      <c r="D19" s="36"/>
      <c r="E19" s="36"/>
    </row>
    <row r="20" spans="1:5">
      <c r="A20" s="25">
        <v>16</v>
      </c>
      <c r="B20" t="s">
        <v>55</v>
      </c>
      <c r="E20" s="35"/>
    </row>
    <row r="21" spans="1:2">
      <c r="A21" s="25">
        <v>17</v>
      </c>
      <c r="B21" t="s">
        <v>56</v>
      </c>
    </row>
    <row r="22" spans="1:5">
      <c r="A22" s="25">
        <v>18</v>
      </c>
      <c r="B22" t="s">
        <v>57</v>
      </c>
      <c r="E22" s="35"/>
    </row>
    <row r="23" spans="1:5">
      <c r="A23" s="25">
        <v>19</v>
      </c>
      <c r="B23" t="s">
        <v>57</v>
      </c>
      <c r="E23" s="35"/>
    </row>
    <row r="24" spans="1:5">
      <c r="A24" s="25">
        <v>20</v>
      </c>
      <c r="B24" t="s">
        <v>57</v>
      </c>
      <c r="E24" s="35"/>
    </row>
    <row r="25" spans="1:5">
      <c r="A25" s="25">
        <v>21</v>
      </c>
      <c r="B25" t="s">
        <v>57</v>
      </c>
      <c r="E25" s="35"/>
    </row>
    <row r="26" spans="1:2">
      <c r="A26" s="25">
        <v>22</v>
      </c>
      <c r="B26" t="s">
        <v>58</v>
      </c>
    </row>
    <row r="27" spans="1:2">
      <c r="A27" s="25">
        <v>23</v>
      </c>
      <c r="B27" t="s">
        <v>59</v>
      </c>
    </row>
    <row r="28" spans="1:4">
      <c r="A28" s="25">
        <v>24</v>
      </c>
      <c r="B28" t="s">
        <v>60</v>
      </c>
      <c r="D28" s="17">
        <f>SUM(D20:D25)-D26-D27</f>
        <v>0</v>
      </c>
    </row>
    <row r="29" spans="1:5">
      <c r="A29" s="65">
        <v>25</v>
      </c>
      <c r="B29" s="32" t="s">
        <v>61</v>
      </c>
      <c r="C29" s="36"/>
      <c r="D29" s="36"/>
      <c r="E29" s="36"/>
    </row>
    <row r="30" spans="1:4">
      <c r="A30" s="25">
        <v>26</v>
      </c>
      <c r="B30" t="s">
        <v>62</v>
      </c>
      <c r="C30" s="37"/>
      <c r="D30" s="38">
        <v>0</v>
      </c>
    </row>
    <row r="31" spans="1:5">
      <c r="A31" s="25">
        <v>27</v>
      </c>
      <c r="B31" t="s">
        <v>63</v>
      </c>
      <c r="C31" s="19"/>
      <c r="D31" s="17">
        <v>0</v>
      </c>
      <c r="E31" s="35"/>
    </row>
    <row r="32" spans="1:5">
      <c r="A32" s="65">
        <v>28</v>
      </c>
      <c r="B32" s="8" t="s">
        <v>45</v>
      </c>
      <c r="C32" s="32"/>
      <c r="D32" s="39" t="s">
        <v>35</v>
      </c>
      <c r="E32" s="8" t="s">
        <v>48</v>
      </c>
    </row>
    <row r="33" spans="1:4">
      <c r="A33" s="25">
        <v>29</v>
      </c>
      <c r="B33" t="s">
        <v>64</v>
      </c>
      <c r="C33"/>
      <c r="D33" s="26"/>
    </row>
    <row r="34" spans="1:4">
      <c r="A34" s="25">
        <v>30</v>
      </c>
      <c r="B34" t="s">
        <v>65</v>
      </c>
      <c r="C34"/>
      <c r="D34" s="26"/>
    </row>
    <row r="35" spans="1:4">
      <c r="A35" s="25">
        <v>31</v>
      </c>
      <c r="B35" t="s">
        <v>66</v>
      </c>
      <c r="C35"/>
      <c r="D35" s="26"/>
    </row>
    <row r="36" spans="1:5">
      <c r="A36" s="65">
        <v>32</v>
      </c>
      <c r="B36" s="32" t="s">
        <v>67</v>
      </c>
      <c r="C36" s="32"/>
      <c r="D36" s="33">
        <f>SUM(D33:D35)</f>
        <v>0</v>
      </c>
      <c r="E36" s="32"/>
    </row>
    <row r="37" spans="1:4">
      <c r="A37" s="25">
        <v>33</v>
      </c>
      <c r="B37" t="s">
        <v>68</v>
      </c>
      <c r="C37"/>
      <c r="D37" s="26"/>
    </row>
    <row r="38" spans="1:4">
      <c r="A38" s="25">
        <v>34</v>
      </c>
      <c r="B38" t="s">
        <v>69</v>
      </c>
      <c r="C38"/>
      <c r="D38" s="26"/>
    </row>
    <row r="39" spans="1:5">
      <c r="A39" s="65">
        <v>35</v>
      </c>
      <c r="B39" s="32" t="s">
        <v>70</v>
      </c>
      <c r="C39" s="32"/>
      <c r="D39" s="33">
        <f>SUM(D37:D38)</f>
        <v>0</v>
      </c>
      <c r="E39" s="32"/>
    </row>
    <row r="40" spans="1:5">
      <c r="A40" s="25">
        <v>36</v>
      </c>
      <c r="B40" s="32" t="s">
        <v>71</v>
      </c>
      <c r="C40" s="32"/>
      <c r="D40" s="33">
        <f>D36-D39</f>
        <v>0</v>
      </c>
      <c r="E40" s="32"/>
    </row>
    <row r="41" spans="1:9">
      <c r="A41" s="25">
        <v>37</v>
      </c>
      <c r="B41" t="s">
        <v>72</v>
      </c>
      <c r="C41"/>
      <c r="D41"/>
      <c r="E41" s="17"/>
      <c r="F41" s="38"/>
      <c r="G41" s="38"/>
      <c r="H41" s="38"/>
      <c r="I41" s="38"/>
    </row>
    <row r="42" spans="1:9">
      <c r="A42" s="65">
        <v>38</v>
      </c>
      <c r="B42" s="7" t="s">
        <v>73</v>
      </c>
      <c r="C42" s="34" t="s">
        <v>74</v>
      </c>
      <c r="D42" s="34" t="s">
        <v>75</v>
      </c>
      <c r="E42" s="32" t="s">
        <v>76</v>
      </c>
      <c r="G42" s="40"/>
      <c r="H42" s="40"/>
      <c r="I42" s="40"/>
    </row>
    <row r="43" spans="1:9">
      <c r="A43" s="25">
        <v>39</v>
      </c>
      <c r="B43" s="48"/>
      <c r="C43" s="49"/>
      <c r="D43" s="2"/>
      <c r="E43" s="19"/>
      <c r="F43" s="37"/>
      <c r="G43" s="44"/>
      <c r="H43" s="37"/>
      <c r="I43" s="37"/>
    </row>
    <row r="44" spans="1:9">
      <c r="A44" s="25">
        <v>40</v>
      </c>
      <c r="B44" s="48"/>
      <c r="C44" s="49"/>
      <c r="D44" s="2"/>
      <c r="E44" s="19"/>
      <c r="F44" s="37"/>
      <c r="G44" s="44"/>
      <c r="H44" s="37"/>
      <c r="I44" s="37"/>
    </row>
    <row r="45" spans="1:9">
      <c r="A45" s="25">
        <v>41</v>
      </c>
      <c r="B45" s="48"/>
      <c r="C45" s="49"/>
      <c r="D45" s="2"/>
      <c r="E45" s="19"/>
      <c r="F45" s="37"/>
      <c r="G45" s="44"/>
      <c r="H45" s="37"/>
      <c r="I45" s="37"/>
    </row>
    <row r="46" spans="1:9">
      <c r="A46" s="25">
        <v>42</v>
      </c>
      <c r="B46" s="48"/>
      <c r="C46" s="49"/>
      <c r="D46" s="2"/>
      <c r="E46" s="19"/>
      <c r="F46" s="37"/>
      <c r="G46" s="44"/>
      <c r="H46" s="37"/>
      <c r="I46" s="37"/>
    </row>
    <row r="47" spans="1:9">
      <c r="A47" s="25">
        <v>43</v>
      </c>
      <c r="B47" s="48"/>
      <c r="C47" s="49"/>
      <c r="D47" s="2"/>
      <c r="E47" s="19"/>
      <c r="F47" s="37"/>
      <c r="G47" s="44"/>
      <c r="H47" s="37"/>
      <c r="I47" s="37"/>
    </row>
    <row r="48" spans="1:9">
      <c r="A48" s="25">
        <v>44</v>
      </c>
      <c r="B48" s="48"/>
      <c r="C48" s="49"/>
      <c r="D48" s="2"/>
      <c r="E48" s="19"/>
      <c r="F48" s="37"/>
      <c r="G48" s="44"/>
      <c r="H48" s="37"/>
      <c r="I48" s="37"/>
    </row>
    <row r="49" spans="1:9">
      <c r="A49" s="25">
        <v>45</v>
      </c>
      <c r="B49" s="48"/>
      <c r="C49" s="49"/>
      <c r="D49" s="2"/>
      <c r="E49" s="19"/>
      <c r="F49" s="37"/>
      <c r="G49" s="37"/>
      <c r="H49" s="37"/>
      <c r="I49" s="37"/>
    </row>
    <row r="50" spans="1:9">
      <c r="A50" s="25">
        <v>46</v>
      </c>
      <c r="B50" s="48"/>
      <c r="C50" s="49"/>
      <c r="D50" s="2"/>
      <c r="E50" s="19"/>
      <c r="F50" s="37"/>
      <c r="G50" s="44"/>
      <c r="H50" s="44"/>
      <c r="I50" s="44"/>
    </row>
    <row r="51" spans="1:9">
      <c r="A51" s="25">
        <v>47</v>
      </c>
      <c r="B51" s="48"/>
      <c r="C51" s="49"/>
      <c r="D51" s="2"/>
      <c r="E51" s="19"/>
      <c r="F51" s="37"/>
      <c r="G51" s="44"/>
      <c r="H51" s="37"/>
      <c r="I51" s="37"/>
    </row>
    <row r="52" spans="1:9">
      <c r="A52" s="25">
        <v>48</v>
      </c>
      <c r="B52" s="48"/>
      <c r="C52" s="49"/>
      <c r="D52" s="2"/>
      <c r="E52" s="19"/>
      <c r="F52" s="37"/>
      <c r="G52" s="37"/>
      <c r="H52" s="37"/>
      <c r="I52" s="37"/>
    </row>
    <row r="53" spans="1:9">
      <c r="A53" s="65">
        <v>49</v>
      </c>
      <c r="B53" s="32" t="s">
        <v>77</v>
      </c>
      <c r="C53" s="50"/>
      <c r="D53" s="50"/>
      <c r="E53" s="52">
        <f>SUM(E43:E52)</f>
        <v>0</v>
      </c>
      <c r="F53" s="37"/>
      <c r="G53" s="37"/>
      <c r="H53" s="37"/>
      <c r="I53" s="37"/>
    </row>
  </sheetData>
  <sheetProtection selectLockedCells="1"/>
  <printOptions gridLines="1"/>
  <pageMargins left="0.708661417322835" right="0.708661417322835" top="0.748031496062992" bottom="0.748031496062992" header="0.31496062992126" footer="0.31496062992126"/>
  <pageSetup paperSize="9" scale="91" orientation="portrait" horizontalDpi="300" verticalDpi="300"/>
  <headerFooter>
    <oddHeader>&amp;C&amp;F 
&amp;A</oddHeader>
    <oddFooter>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view="pageBreakPreview" zoomScaleNormal="100" topLeftCell="A29" workbookViewId="0">
      <selection activeCell="A5" sqref="A5:A49"/>
    </sheetView>
  </sheetViews>
  <sheetFormatPr defaultColWidth="8.77777777777778" defaultRowHeight="12.75"/>
  <cols>
    <col min="1" max="1" width="5.33333333333333" style="1" customWidth="1"/>
    <col min="2" max="2" width="39.7777777777778" customWidth="1"/>
    <col min="3" max="4" width="12.7777777777778" style="17" customWidth="1"/>
    <col min="5" max="5" width="43.8333333333333" customWidth="1"/>
    <col min="6" max="6" width="10" customWidth="1"/>
  </cols>
  <sheetData>
    <row r="1" customFormat="1" spans="1:4">
      <c r="A1" s="1" t="s">
        <v>0</v>
      </c>
      <c r="C1" s="17"/>
      <c r="D1" s="17"/>
    </row>
    <row r="2" customFormat="1" spans="1:4">
      <c r="A2" s="1" t="s">
        <v>117</v>
      </c>
      <c r="B2" s="2" t="s">
        <v>118</v>
      </c>
      <c r="C2" s="17" t="s">
        <v>30</v>
      </c>
      <c r="D2" s="19" t="s">
        <v>31</v>
      </c>
    </row>
    <row r="3" customFormat="1" spans="1:8">
      <c r="A3" s="1" t="s">
        <v>32</v>
      </c>
      <c r="B3" s="2"/>
      <c r="C3" s="17" t="s">
        <v>2</v>
      </c>
      <c r="D3" s="55">
        <v>45989</v>
      </c>
      <c r="G3" s="21"/>
      <c r="H3" s="22"/>
    </row>
    <row r="4" s="16" customFormat="1" spans="1:5">
      <c r="A4" s="23" t="s">
        <v>3</v>
      </c>
      <c r="B4" s="8" t="s">
        <v>33</v>
      </c>
      <c r="C4" s="24" t="s">
        <v>34</v>
      </c>
      <c r="D4" s="24" t="s">
        <v>35</v>
      </c>
      <c r="E4" s="14" t="s">
        <v>36</v>
      </c>
    </row>
    <row r="5" customFormat="1" spans="1:5">
      <c r="A5" s="25">
        <v>1</v>
      </c>
      <c r="B5" t="s">
        <v>37</v>
      </c>
      <c r="D5" s="26"/>
      <c r="E5" s="26"/>
    </row>
    <row r="6" customFormat="1" spans="1:5">
      <c r="A6" s="25">
        <v>2</v>
      </c>
      <c r="B6" t="s">
        <v>38</v>
      </c>
      <c r="D6" s="26"/>
      <c r="E6" s="26"/>
    </row>
    <row r="7" customFormat="1" spans="1:5">
      <c r="A7" s="25">
        <v>3</v>
      </c>
      <c r="B7" t="s">
        <v>39</v>
      </c>
      <c r="D7" s="26"/>
      <c r="E7" s="26"/>
    </row>
    <row r="8" customFormat="1" spans="1:5">
      <c r="A8" s="25">
        <v>4</v>
      </c>
      <c r="B8" t="s">
        <v>40</v>
      </c>
      <c r="D8" s="26"/>
      <c r="E8" s="26"/>
    </row>
    <row r="9" customFormat="1" ht="16.05" hidden="1" customHeight="1" spans="1:5">
      <c r="A9" s="25">
        <v>5</v>
      </c>
      <c r="B9" t="s">
        <v>41</v>
      </c>
      <c r="D9" s="26"/>
      <c r="E9" s="26"/>
    </row>
    <row r="10" customFormat="1" ht="48" customHeight="1" spans="1:5">
      <c r="A10" s="25">
        <v>6</v>
      </c>
      <c r="B10" t="s">
        <v>42</v>
      </c>
      <c r="D10" s="53">
        <f>1770+5900</f>
        <v>7670</v>
      </c>
      <c r="E10" s="54" t="s">
        <v>119</v>
      </c>
    </row>
    <row r="11" customFormat="1" spans="1:5">
      <c r="A11" s="25">
        <v>7</v>
      </c>
      <c r="B11" t="s">
        <v>42</v>
      </c>
      <c r="D11" s="26">
        <v>4455</v>
      </c>
      <c r="E11" s="26" t="s">
        <v>87</v>
      </c>
    </row>
    <row r="12" customFormat="1" spans="1:5">
      <c r="A12" s="25">
        <v>8</v>
      </c>
      <c r="B12" s="32" t="s">
        <v>44</v>
      </c>
      <c r="C12" s="32"/>
      <c r="D12" s="33">
        <f>SUM(D5:D11)</f>
        <v>12125</v>
      </c>
      <c r="E12" s="33"/>
    </row>
    <row r="13" ht="51" spans="1:6">
      <c r="A13" s="25">
        <v>9</v>
      </c>
      <c r="B13" s="7" t="s">
        <v>45</v>
      </c>
      <c r="C13" s="34" t="s">
        <v>46</v>
      </c>
      <c r="D13" s="34" t="s">
        <v>47</v>
      </c>
      <c r="E13" s="34" t="s">
        <v>48</v>
      </c>
      <c r="F13" s="16"/>
    </row>
    <row r="14" customFormat="1" spans="1:5">
      <c r="A14" s="25">
        <v>10</v>
      </c>
      <c r="B14" t="s">
        <v>49</v>
      </c>
      <c r="C14" s="19"/>
      <c r="D14" s="19">
        <v>0</v>
      </c>
      <c r="E14" s="2"/>
    </row>
    <row r="15" customFormat="1" spans="1:5">
      <c r="A15" s="25">
        <v>11</v>
      </c>
      <c r="B15" t="s">
        <v>50</v>
      </c>
      <c r="C15" s="17"/>
      <c r="D15" s="19">
        <v>1957</v>
      </c>
      <c r="E15" s="2"/>
    </row>
    <row r="16" customFormat="1" spans="1:6">
      <c r="A16" s="25">
        <v>12</v>
      </c>
      <c r="B16" t="s">
        <v>51</v>
      </c>
      <c r="C16" s="17"/>
      <c r="D16" s="19">
        <f>D15-D14-D12</f>
        <v>-10168</v>
      </c>
      <c r="E16" s="35"/>
      <c r="F16" s="35"/>
    </row>
    <row r="17" customFormat="1" spans="1:5">
      <c r="A17" s="25">
        <v>13</v>
      </c>
      <c r="B17" t="s">
        <v>52</v>
      </c>
      <c r="C17" s="17"/>
      <c r="D17" s="19"/>
      <c r="E17" s="35"/>
    </row>
    <row r="18" customFormat="1" spans="1:5">
      <c r="A18" s="25">
        <v>14</v>
      </c>
      <c r="B18" t="s">
        <v>53</v>
      </c>
      <c r="C18" s="17"/>
      <c r="D18" s="17">
        <f>SUM(D16:D17)</f>
        <v>-10168</v>
      </c>
      <c r="E18" s="35"/>
    </row>
    <row r="19" customFormat="1" spans="1:5">
      <c r="A19" s="25">
        <v>15</v>
      </c>
      <c r="B19" s="32" t="s">
        <v>54</v>
      </c>
      <c r="C19" s="36"/>
      <c r="D19" s="36"/>
      <c r="E19" s="36"/>
    </row>
    <row r="20" customFormat="1" spans="1:5">
      <c r="A20" s="25">
        <v>16</v>
      </c>
      <c r="B20" t="s">
        <v>55</v>
      </c>
      <c r="C20" s="17"/>
      <c r="D20" s="17"/>
      <c r="E20" s="35"/>
    </row>
    <row r="21" customFormat="1" spans="1:4">
      <c r="A21" s="25">
        <v>17</v>
      </c>
      <c r="B21" t="s">
        <v>56</v>
      </c>
      <c r="C21" s="17"/>
      <c r="D21" s="17"/>
    </row>
    <row r="22" customFormat="1" spans="1:5">
      <c r="A22" s="25">
        <v>18</v>
      </c>
      <c r="B22" t="s">
        <v>57</v>
      </c>
      <c r="C22" s="17"/>
      <c r="D22" s="17"/>
      <c r="E22" s="35"/>
    </row>
    <row r="23" customFormat="1" spans="1:5">
      <c r="A23" s="25">
        <v>19</v>
      </c>
      <c r="B23" t="s">
        <v>57</v>
      </c>
      <c r="C23" s="17"/>
      <c r="D23" s="17"/>
      <c r="E23" s="35"/>
    </row>
    <row r="24" customFormat="1" spans="1:5">
      <c r="A24" s="25">
        <v>20</v>
      </c>
      <c r="B24" t="s">
        <v>57</v>
      </c>
      <c r="C24" s="17"/>
      <c r="D24" s="17"/>
      <c r="E24" s="35"/>
    </row>
    <row r="25" customFormat="1" spans="1:5">
      <c r="A25" s="25">
        <v>21</v>
      </c>
      <c r="B25" t="s">
        <v>57</v>
      </c>
      <c r="C25" s="17"/>
      <c r="D25" s="17"/>
      <c r="E25" s="35"/>
    </row>
    <row r="26" customFormat="1" spans="1:4">
      <c r="A26" s="25">
        <v>22</v>
      </c>
      <c r="B26" t="s">
        <v>58</v>
      </c>
      <c r="C26" s="17"/>
      <c r="D26" s="17"/>
    </row>
    <row r="27" customFormat="1" spans="1:4">
      <c r="A27" s="25">
        <v>23</v>
      </c>
      <c r="B27" t="s">
        <v>59</v>
      </c>
      <c r="C27" s="17"/>
      <c r="D27" s="17"/>
    </row>
    <row r="28" customFormat="1" spans="1:4">
      <c r="A28" s="25">
        <v>24</v>
      </c>
      <c r="B28" t="s">
        <v>60</v>
      </c>
      <c r="C28" s="17"/>
      <c r="D28" s="17">
        <f>SUM(D20:D25)-D26-D27</f>
        <v>0</v>
      </c>
    </row>
    <row r="29" customFormat="1" spans="1:5">
      <c r="A29" s="25">
        <v>25</v>
      </c>
      <c r="B29" s="32" t="s">
        <v>61</v>
      </c>
      <c r="C29" s="36"/>
      <c r="D29" s="36"/>
      <c r="E29" s="36"/>
    </row>
    <row r="30" customFormat="1" spans="1:4">
      <c r="A30" s="25">
        <v>26</v>
      </c>
      <c r="B30" t="s">
        <v>62</v>
      </c>
      <c r="C30" s="37"/>
      <c r="D30" s="38">
        <v>0</v>
      </c>
    </row>
    <row r="31" customFormat="1" spans="1:5">
      <c r="A31" s="25">
        <v>27</v>
      </c>
      <c r="B31" t="s">
        <v>63</v>
      </c>
      <c r="C31" s="19"/>
      <c r="D31" s="17">
        <v>0</v>
      </c>
      <c r="E31" s="35"/>
    </row>
    <row r="32" customFormat="1" spans="1:5">
      <c r="A32" s="25">
        <v>28</v>
      </c>
      <c r="B32" s="8" t="s">
        <v>45</v>
      </c>
      <c r="C32" s="32"/>
      <c r="D32" s="39" t="s">
        <v>35</v>
      </c>
      <c r="E32" s="8" t="s">
        <v>48</v>
      </c>
    </row>
    <row r="33" customFormat="1" spans="1:4">
      <c r="A33" s="25">
        <v>29</v>
      </c>
      <c r="B33" t="s">
        <v>64</v>
      </c>
      <c r="D33" s="26"/>
    </row>
    <row r="34" customFormat="1" spans="1:4">
      <c r="A34" s="25">
        <v>30</v>
      </c>
      <c r="B34" t="s">
        <v>65</v>
      </c>
      <c r="D34" s="26"/>
    </row>
    <row r="35" customFormat="1" spans="1:4">
      <c r="A35" s="25">
        <v>31</v>
      </c>
      <c r="B35" t="s">
        <v>66</v>
      </c>
      <c r="D35" s="26"/>
    </row>
    <row r="36" customFormat="1" spans="1:5">
      <c r="A36" s="25">
        <v>32</v>
      </c>
      <c r="B36" s="32" t="s">
        <v>67</v>
      </c>
      <c r="C36" s="32"/>
      <c r="D36" s="33">
        <f>SUM(D33:D35)</f>
        <v>0</v>
      </c>
      <c r="E36" s="32"/>
    </row>
    <row r="37" customFormat="1" spans="1:4">
      <c r="A37" s="25">
        <v>33</v>
      </c>
      <c r="B37" t="s">
        <v>68</v>
      </c>
      <c r="D37" s="26"/>
    </row>
    <row r="38" customFormat="1" spans="1:4">
      <c r="A38" s="25">
        <v>34</v>
      </c>
      <c r="B38" t="s">
        <v>69</v>
      </c>
      <c r="D38" s="26"/>
    </row>
    <row r="39" customFormat="1" spans="1:5">
      <c r="A39" s="25">
        <v>35</v>
      </c>
      <c r="B39" s="32" t="s">
        <v>70</v>
      </c>
      <c r="C39" s="32"/>
      <c r="D39" s="33">
        <f>SUM(D37:D38)</f>
        <v>0</v>
      </c>
      <c r="E39" s="32"/>
    </row>
    <row r="40" customFormat="1" spans="1:5">
      <c r="A40" s="25">
        <v>36</v>
      </c>
      <c r="B40" s="32" t="s">
        <v>71</v>
      </c>
      <c r="C40" s="32"/>
      <c r="D40" s="33">
        <f>D36-D39</f>
        <v>0</v>
      </c>
      <c r="E40" s="32"/>
    </row>
    <row r="41" spans="1:9">
      <c r="A41" s="25">
        <v>37</v>
      </c>
      <c r="B41" t="s">
        <v>72</v>
      </c>
      <c r="C41"/>
      <c r="D41"/>
      <c r="E41" s="17"/>
      <c r="F41" s="38"/>
      <c r="G41" s="38"/>
      <c r="H41" s="38"/>
      <c r="I41" s="38"/>
    </row>
    <row r="42" customFormat="1" spans="1:9">
      <c r="A42" s="25">
        <v>38</v>
      </c>
      <c r="B42" s="7" t="s">
        <v>73</v>
      </c>
      <c r="C42" s="34" t="s">
        <v>74</v>
      </c>
      <c r="D42" s="34" t="s">
        <v>75</v>
      </c>
      <c r="E42" s="32" t="s">
        <v>76</v>
      </c>
      <c r="G42" s="40"/>
      <c r="H42" s="40"/>
      <c r="I42" s="40"/>
    </row>
    <row r="43" spans="1:9">
      <c r="A43" s="25">
        <v>39</v>
      </c>
      <c r="B43" s="48"/>
      <c r="C43" s="49"/>
      <c r="D43" s="2"/>
      <c r="E43" s="19"/>
      <c r="F43" s="37"/>
      <c r="G43" s="44"/>
      <c r="H43" s="37"/>
      <c r="I43" s="37"/>
    </row>
    <row r="44" spans="1:9">
      <c r="A44" s="25">
        <v>40</v>
      </c>
      <c r="B44" s="48"/>
      <c r="C44" s="49"/>
      <c r="D44" s="2"/>
      <c r="E44" s="19"/>
      <c r="F44" s="37"/>
      <c r="G44" s="44"/>
      <c r="H44" s="37"/>
      <c r="I44" s="37"/>
    </row>
    <row r="45" spans="1:9">
      <c r="A45" s="25">
        <v>41</v>
      </c>
      <c r="B45" s="48"/>
      <c r="C45" s="49"/>
      <c r="D45" s="2"/>
      <c r="E45" s="19"/>
      <c r="F45" s="37"/>
      <c r="G45" s="44"/>
      <c r="H45" s="37"/>
      <c r="I45" s="37"/>
    </row>
    <row r="46" spans="1:9">
      <c r="A46" s="25">
        <v>42</v>
      </c>
      <c r="B46" s="48"/>
      <c r="C46" s="49"/>
      <c r="D46" s="2"/>
      <c r="E46" s="19"/>
      <c r="F46" s="37"/>
      <c r="G46" s="44"/>
      <c r="H46" s="37"/>
      <c r="I46" s="37"/>
    </row>
    <row r="47" spans="1:9">
      <c r="A47" s="25">
        <v>43</v>
      </c>
      <c r="B47" s="48"/>
      <c r="C47" s="49"/>
      <c r="D47" s="2"/>
      <c r="E47" s="19"/>
      <c r="F47" s="37"/>
      <c r="G47" s="44"/>
      <c r="H47" s="37"/>
      <c r="I47" s="37"/>
    </row>
    <row r="48" spans="1:9">
      <c r="A48" s="25">
        <v>44</v>
      </c>
      <c r="B48" s="48"/>
      <c r="C48" s="49"/>
      <c r="D48" s="2"/>
      <c r="E48" s="19"/>
      <c r="F48" s="37"/>
      <c r="G48" s="37"/>
      <c r="H48" s="37"/>
      <c r="I48" s="37"/>
    </row>
    <row r="49" spans="1:9">
      <c r="A49" s="25">
        <v>45</v>
      </c>
      <c r="B49" s="32" t="s">
        <v>77</v>
      </c>
      <c r="C49" s="50"/>
      <c r="D49" s="50"/>
      <c r="E49" s="52">
        <f>SUM(E43:E48)</f>
        <v>0</v>
      </c>
      <c r="F49" s="37"/>
      <c r="G49" s="37"/>
      <c r="H49" s="37"/>
      <c r="I49" s="37"/>
    </row>
  </sheetData>
  <printOptions gridLines="1"/>
  <pageMargins left="0.75" right="0.75" top="1" bottom="1" header="0.5" footer="0.5"/>
  <pageSetup paperSize="9" scale="83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view="pageBreakPreview" zoomScale="110" zoomScaleNormal="100" topLeftCell="A34" workbookViewId="0">
      <selection activeCell="A5" sqref="A5:A50"/>
    </sheetView>
  </sheetViews>
  <sheetFormatPr defaultColWidth="8.77777777777778" defaultRowHeight="12.75"/>
  <cols>
    <col min="1" max="1" width="5.33333333333333" style="1" customWidth="1"/>
    <col min="2" max="2" width="39.7777777777778" customWidth="1"/>
    <col min="3" max="4" width="12.7777777777778" style="17" customWidth="1"/>
    <col min="5" max="5" width="34.8888888888889" customWidth="1"/>
    <col min="6" max="6" width="10" customWidth="1"/>
  </cols>
  <sheetData>
    <row r="1" customFormat="1" spans="1:4">
      <c r="A1" s="1" t="s">
        <v>0</v>
      </c>
      <c r="C1" s="17"/>
      <c r="D1" s="17"/>
    </row>
    <row r="2" customFormat="1" spans="1:4">
      <c r="A2" s="1" t="s">
        <v>117</v>
      </c>
      <c r="B2" s="2" t="s">
        <v>120</v>
      </c>
      <c r="C2" s="17" t="s">
        <v>30</v>
      </c>
      <c r="D2" s="19" t="s">
        <v>31</v>
      </c>
    </row>
    <row r="3" customFormat="1" spans="1:8">
      <c r="A3" s="1" t="s">
        <v>32</v>
      </c>
      <c r="B3" s="2"/>
      <c r="C3" s="17" t="s">
        <v>2</v>
      </c>
      <c r="D3" s="55">
        <v>45989</v>
      </c>
      <c r="G3" s="21"/>
      <c r="H3" s="22"/>
    </row>
    <row r="4" s="16" customFormat="1" spans="1:5">
      <c r="A4" s="23" t="s">
        <v>3</v>
      </c>
      <c r="B4" s="8" t="s">
        <v>33</v>
      </c>
      <c r="C4" s="24" t="s">
        <v>34</v>
      </c>
      <c r="D4" s="24" t="s">
        <v>35</v>
      </c>
      <c r="E4" s="14" t="s">
        <v>36</v>
      </c>
    </row>
    <row r="5" customFormat="1" spans="1:5">
      <c r="A5" s="25">
        <v>1</v>
      </c>
      <c r="B5" t="s">
        <v>37</v>
      </c>
      <c r="D5" s="26"/>
      <c r="E5" s="26"/>
    </row>
    <row r="6" customFormat="1" spans="1:5">
      <c r="A6" s="25">
        <v>2</v>
      </c>
      <c r="B6" t="s">
        <v>38</v>
      </c>
      <c r="D6" s="26"/>
      <c r="E6" s="26"/>
    </row>
    <row r="7" customFormat="1" spans="1:5">
      <c r="A7" s="25">
        <v>3</v>
      </c>
      <c r="B7" t="s">
        <v>39</v>
      </c>
      <c r="D7" s="26"/>
      <c r="E7" s="26"/>
    </row>
    <row r="8" customFormat="1" spans="1:5">
      <c r="A8" s="25">
        <v>4</v>
      </c>
      <c r="B8" t="s">
        <v>40</v>
      </c>
      <c r="D8" s="26"/>
      <c r="E8" s="56"/>
    </row>
    <row r="9" customFormat="1" ht="38.25" spans="1:5">
      <c r="A9" s="25">
        <v>5</v>
      </c>
      <c r="B9" t="s">
        <v>41</v>
      </c>
      <c r="D9" s="26">
        <v>48000</v>
      </c>
      <c r="E9" s="56" t="s">
        <v>121</v>
      </c>
    </row>
    <row r="10" customFormat="1" ht="42" customHeight="1" spans="1:5">
      <c r="A10" s="25">
        <v>6</v>
      </c>
      <c r="B10" t="s">
        <v>42</v>
      </c>
      <c r="D10" s="53">
        <f>898+1770+1180</f>
        <v>3848</v>
      </c>
      <c r="E10" s="54" t="s">
        <v>119</v>
      </c>
    </row>
    <row r="11" customFormat="1" spans="1:5">
      <c r="A11" s="25">
        <v>7</v>
      </c>
      <c r="B11" t="s">
        <v>42</v>
      </c>
      <c r="D11" s="26">
        <v>4455</v>
      </c>
      <c r="E11" s="26" t="s">
        <v>80</v>
      </c>
    </row>
    <row r="12" customFormat="1" ht="25.5" spans="1:5">
      <c r="A12" s="25">
        <v>8</v>
      </c>
      <c r="B12" t="s">
        <v>42</v>
      </c>
      <c r="D12" s="26">
        <v>15000</v>
      </c>
      <c r="E12" s="56" t="s">
        <v>122</v>
      </c>
    </row>
    <row r="13" customFormat="1" spans="1:5">
      <c r="A13" s="25">
        <v>9</v>
      </c>
      <c r="B13" s="32" t="s">
        <v>44</v>
      </c>
      <c r="C13" s="32"/>
      <c r="D13" s="33">
        <f>SUM(D5:D11)</f>
        <v>56303</v>
      </c>
      <c r="E13" s="33"/>
    </row>
    <row r="14" ht="51" spans="1:6">
      <c r="A14" s="25">
        <v>10</v>
      </c>
      <c r="B14" s="7" t="s">
        <v>45</v>
      </c>
      <c r="C14" s="34" t="s">
        <v>46</v>
      </c>
      <c r="D14" s="34" t="s">
        <v>47</v>
      </c>
      <c r="E14" s="34" t="s">
        <v>48</v>
      </c>
      <c r="F14" s="16"/>
    </row>
    <row r="15" customFormat="1" spans="1:5">
      <c r="A15" s="25">
        <v>11</v>
      </c>
      <c r="B15" t="s">
        <v>49</v>
      </c>
      <c r="C15" s="19"/>
      <c r="D15" s="19">
        <v>0</v>
      </c>
      <c r="E15" s="2"/>
    </row>
    <row r="16" customFormat="1" spans="1:5">
      <c r="A16" s="25">
        <v>12</v>
      </c>
      <c r="B16" t="s">
        <v>50</v>
      </c>
      <c r="C16" s="17"/>
      <c r="D16" s="19">
        <v>5523</v>
      </c>
      <c r="E16" s="2"/>
    </row>
    <row r="17" customFormat="1" spans="1:6">
      <c r="A17" s="25">
        <v>13</v>
      </c>
      <c r="B17" t="s">
        <v>51</v>
      </c>
      <c r="C17" s="17"/>
      <c r="D17" s="19">
        <f>D16-D15-D13</f>
        <v>-50780</v>
      </c>
      <c r="E17" s="35"/>
      <c r="F17" s="35"/>
    </row>
    <row r="18" customFormat="1" spans="1:5">
      <c r="A18" s="25">
        <v>14</v>
      </c>
      <c r="B18" t="s">
        <v>52</v>
      </c>
      <c r="C18" s="17"/>
      <c r="D18" s="19"/>
      <c r="E18" s="35"/>
    </row>
    <row r="19" customFormat="1" spans="1:5">
      <c r="A19" s="25">
        <v>15</v>
      </c>
      <c r="B19" t="s">
        <v>53</v>
      </c>
      <c r="C19" s="17"/>
      <c r="D19" s="17">
        <f>SUM(D17:D18)</f>
        <v>-50780</v>
      </c>
      <c r="E19" s="35"/>
    </row>
    <row r="20" customFormat="1" spans="1:5">
      <c r="A20" s="25">
        <v>16</v>
      </c>
      <c r="B20" s="32" t="s">
        <v>54</v>
      </c>
      <c r="C20" s="36"/>
      <c r="D20" s="36"/>
      <c r="E20" s="36"/>
    </row>
    <row r="21" customFormat="1" spans="1:5">
      <c r="A21" s="25">
        <v>17</v>
      </c>
      <c r="B21" t="s">
        <v>55</v>
      </c>
      <c r="C21" s="17"/>
      <c r="D21" s="17"/>
      <c r="E21" s="35"/>
    </row>
    <row r="22" customFormat="1" spans="1:4">
      <c r="A22" s="25">
        <v>18</v>
      </c>
      <c r="B22" t="s">
        <v>56</v>
      </c>
      <c r="C22" s="17"/>
      <c r="D22" s="17"/>
    </row>
    <row r="23" customFormat="1" spans="1:5">
      <c r="A23" s="25">
        <v>19</v>
      </c>
      <c r="B23" t="s">
        <v>57</v>
      </c>
      <c r="C23" s="17"/>
      <c r="D23" s="17"/>
      <c r="E23" s="35"/>
    </row>
    <row r="24" customFormat="1" spans="1:5">
      <c r="A24" s="25">
        <v>20</v>
      </c>
      <c r="B24" t="s">
        <v>57</v>
      </c>
      <c r="C24" s="17"/>
      <c r="D24" s="17"/>
      <c r="E24" s="35"/>
    </row>
    <row r="25" customFormat="1" spans="1:5">
      <c r="A25" s="25">
        <v>21</v>
      </c>
      <c r="B25" t="s">
        <v>57</v>
      </c>
      <c r="C25" s="17"/>
      <c r="D25" s="17"/>
      <c r="E25" s="35"/>
    </row>
    <row r="26" customFormat="1" spans="1:5">
      <c r="A26" s="25">
        <v>22</v>
      </c>
      <c r="B26" t="s">
        <v>57</v>
      </c>
      <c r="C26" s="17"/>
      <c r="D26" s="17"/>
      <c r="E26" s="35"/>
    </row>
    <row r="27" customFormat="1" spans="1:4">
      <c r="A27" s="25">
        <v>23</v>
      </c>
      <c r="B27" t="s">
        <v>58</v>
      </c>
      <c r="C27" s="17"/>
      <c r="D27" s="17"/>
    </row>
    <row r="28" customFormat="1" spans="1:4">
      <c r="A28" s="25">
        <v>24</v>
      </c>
      <c r="B28" t="s">
        <v>59</v>
      </c>
      <c r="C28" s="17"/>
      <c r="D28" s="17"/>
    </row>
    <row r="29" customFormat="1" spans="1:4">
      <c r="A29" s="25">
        <v>25</v>
      </c>
      <c r="B29" t="s">
        <v>60</v>
      </c>
      <c r="C29" s="17"/>
      <c r="D29" s="17">
        <f>SUM(D21:D26)-D27-D28</f>
        <v>0</v>
      </c>
    </row>
    <row r="30" customFormat="1" spans="1:5">
      <c r="A30" s="25">
        <v>26</v>
      </c>
      <c r="B30" s="32" t="s">
        <v>61</v>
      </c>
      <c r="C30" s="36"/>
      <c r="D30" s="36"/>
      <c r="E30" s="36"/>
    </row>
    <row r="31" customFormat="1" spans="1:4">
      <c r="A31" s="25">
        <v>27</v>
      </c>
      <c r="B31" t="s">
        <v>62</v>
      </c>
      <c r="C31" s="37"/>
      <c r="D31" s="38">
        <v>0</v>
      </c>
    </row>
    <row r="32" customFormat="1" spans="1:5">
      <c r="A32" s="25">
        <v>28</v>
      </c>
      <c r="B32" t="s">
        <v>63</v>
      </c>
      <c r="C32" s="19"/>
      <c r="D32" s="17">
        <v>0</v>
      </c>
      <c r="E32" s="35"/>
    </row>
    <row r="33" customFormat="1" spans="1:5">
      <c r="A33" s="25">
        <v>29</v>
      </c>
      <c r="B33" s="8" t="s">
        <v>45</v>
      </c>
      <c r="C33" s="32"/>
      <c r="D33" s="39" t="s">
        <v>35</v>
      </c>
      <c r="E33" s="8" t="s">
        <v>48</v>
      </c>
    </row>
    <row r="34" customFormat="1" spans="1:4">
      <c r="A34" s="25">
        <v>30</v>
      </c>
      <c r="B34" t="s">
        <v>64</v>
      </c>
      <c r="D34" s="26"/>
    </row>
    <row r="35" customFormat="1" spans="1:4">
      <c r="A35" s="25">
        <v>31</v>
      </c>
      <c r="B35" t="s">
        <v>65</v>
      </c>
      <c r="D35" s="26"/>
    </row>
    <row r="36" customFormat="1" spans="1:4">
      <c r="A36" s="25">
        <v>32</v>
      </c>
      <c r="B36" t="s">
        <v>66</v>
      </c>
      <c r="D36" s="26"/>
    </row>
    <row r="37" customFormat="1" spans="1:5">
      <c r="A37" s="25">
        <v>33</v>
      </c>
      <c r="B37" s="32" t="s">
        <v>67</v>
      </c>
      <c r="C37" s="32"/>
      <c r="D37" s="33">
        <f>SUM(D34:D36)</f>
        <v>0</v>
      </c>
      <c r="E37" s="32"/>
    </row>
    <row r="38" customFormat="1" spans="1:4">
      <c r="A38" s="25">
        <v>34</v>
      </c>
      <c r="B38" t="s">
        <v>68</v>
      </c>
      <c r="D38" s="26"/>
    </row>
    <row r="39" customFormat="1" spans="1:4">
      <c r="A39" s="25">
        <v>35</v>
      </c>
      <c r="B39" t="s">
        <v>69</v>
      </c>
      <c r="D39" s="26"/>
    </row>
    <row r="40" customFormat="1" spans="1:5">
      <c r="A40" s="25">
        <v>36</v>
      </c>
      <c r="B40" s="32" t="s">
        <v>70</v>
      </c>
      <c r="C40" s="32"/>
      <c r="D40" s="33">
        <f>SUM(D38:D39)</f>
        <v>0</v>
      </c>
      <c r="E40" s="32"/>
    </row>
    <row r="41" customFormat="1" spans="1:5">
      <c r="A41" s="25">
        <v>37</v>
      </c>
      <c r="B41" s="32" t="s">
        <v>71</v>
      </c>
      <c r="C41" s="32"/>
      <c r="D41" s="33">
        <f>D37-D40</f>
        <v>0</v>
      </c>
      <c r="E41" s="32"/>
    </row>
    <row r="42" spans="1:9">
      <c r="A42" s="25">
        <v>38</v>
      </c>
      <c r="B42" t="s">
        <v>72</v>
      </c>
      <c r="C42"/>
      <c r="D42"/>
      <c r="E42" s="17"/>
      <c r="F42" s="38"/>
      <c r="G42" s="38"/>
      <c r="H42" s="38"/>
      <c r="I42" s="38"/>
    </row>
    <row r="43" customFormat="1" spans="1:9">
      <c r="A43" s="25">
        <v>39</v>
      </c>
      <c r="B43" s="7" t="s">
        <v>73</v>
      </c>
      <c r="C43" s="34" t="s">
        <v>74</v>
      </c>
      <c r="D43" s="34" t="s">
        <v>75</v>
      </c>
      <c r="E43" s="32" t="s">
        <v>76</v>
      </c>
      <c r="G43" s="40"/>
      <c r="H43" s="40"/>
      <c r="I43" s="40"/>
    </row>
    <row r="44" spans="1:9">
      <c r="A44" s="25">
        <v>40</v>
      </c>
      <c r="B44" s="48"/>
      <c r="C44" s="49"/>
      <c r="D44" s="2"/>
      <c r="E44" s="19"/>
      <c r="F44" s="37"/>
      <c r="G44" s="44"/>
      <c r="H44" s="37"/>
      <c r="I44" s="37"/>
    </row>
    <row r="45" spans="1:9">
      <c r="A45" s="25">
        <v>41</v>
      </c>
      <c r="B45" s="48"/>
      <c r="C45" s="49"/>
      <c r="D45" s="2"/>
      <c r="E45" s="19"/>
      <c r="F45" s="37"/>
      <c r="G45" s="44"/>
      <c r="H45" s="37"/>
      <c r="I45" s="37"/>
    </row>
    <row r="46" spans="1:9">
      <c r="A46" s="25">
        <v>42</v>
      </c>
      <c r="B46" s="48"/>
      <c r="C46" s="49"/>
      <c r="D46" s="2"/>
      <c r="E46" s="19"/>
      <c r="F46" s="37"/>
      <c r="G46" s="44"/>
      <c r="H46" s="37"/>
      <c r="I46" s="37"/>
    </row>
    <row r="47" spans="1:9">
      <c r="A47" s="25">
        <v>43</v>
      </c>
      <c r="B47" s="48"/>
      <c r="C47" s="49"/>
      <c r="D47" s="2"/>
      <c r="E47" s="19"/>
      <c r="F47" s="37"/>
      <c r="G47" s="44"/>
      <c r="H47" s="37"/>
      <c r="I47" s="37"/>
    </row>
    <row r="48" spans="1:9">
      <c r="A48" s="25">
        <v>44</v>
      </c>
      <c r="B48" s="48"/>
      <c r="C48" s="49"/>
      <c r="D48" s="2"/>
      <c r="E48" s="19"/>
      <c r="F48" s="37"/>
      <c r="G48" s="44"/>
      <c r="H48" s="37"/>
      <c r="I48" s="37"/>
    </row>
    <row r="49" spans="1:9">
      <c r="A49" s="25">
        <v>45</v>
      </c>
      <c r="B49" s="48"/>
      <c r="C49" s="49"/>
      <c r="D49" s="2"/>
      <c r="E49" s="19"/>
      <c r="F49" s="37"/>
      <c r="G49" s="37"/>
      <c r="H49" s="37"/>
      <c r="I49" s="37"/>
    </row>
    <row r="50" spans="1:9">
      <c r="A50" s="25">
        <v>46</v>
      </c>
      <c r="B50" s="32" t="s">
        <v>77</v>
      </c>
      <c r="C50" s="50"/>
      <c r="D50" s="50"/>
      <c r="E50" s="52">
        <f>SUM(E44:E49)</f>
        <v>0</v>
      </c>
      <c r="F50" s="37"/>
      <c r="G50" s="37"/>
      <c r="H50" s="37"/>
      <c r="I50" s="37"/>
    </row>
  </sheetData>
  <printOptions gridLines="1"/>
  <pageMargins left="0.75" right="0.75" top="1" bottom="1" header="0.5" footer="0.5"/>
  <pageSetup paperSize="9" scale="72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view="pageBreakPreview" zoomScaleNormal="100" topLeftCell="A37" workbookViewId="0">
      <selection activeCell="A5" sqref="A5:A54"/>
    </sheetView>
  </sheetViews>
  <sheetFormatPr defaultColWidth="8.77777777777778" defaultRowHeight="12.75"/>
  <cols>
    <col min="1" max="1" width="5.33333333333333" style="1" customWidth="1"/>
    <col min="2" max="2" width="39.7777777777778" customWidth="1"/>
    <col min="3" max="4" width="12.7777777777778" style="17" customWidth="1"/>
    <col min="5" max="5" width="54.5" customWidth="1"/>
    <col min="6" max="6" width="10" customWidth="1"/>
  </cols>
  <sheetData>
    <row r="1" customFormat="1" spans="1:4">
      <c r="A1" s="1" t="s">
        <v>0</v>
      </c>
      <c r="C1" s="17"/>
      <c r="D1" s="17"/>
    </row>
    <row r="2" customFormat="1" spans="1:4">
      <c r="A2" s="1" t="s">
        <v>117</v>
      </c>
      <c r="B2" s="2" t="s">
        <v>11</v>
      </c>
      <c r="C2" s="17" t="s">
        <v>30</v>
      </c>
      <c r="D2" s="19" t="s">
        <v>31</v>
      </c>
    </row>
    <row r="3" customFormat="1" spans="1:8">
      <c r="A3" s="1" t="s">
        <v>32</v>
      </c>
      <c r="B3" s="2"/>
      <c r="C3" s="17" t="s">
        <v>2</v>
      </c>
      <c r="D3" s="55">
        <f>'1. Bank balance statement'!B3</f>
        <v>45996</v>
      </c>
      <c r="G3" s="21"/>
      <c r="H3" s="22"/>
    </row>
    <row r="4" s="16" customFormat="1" spans="1:5">
      <c r="A4" s="23" t="s">
        <v>3</v>
      </c>
      <c r="B4" s="8" t="s">
        <v>33</v>
      </c>
      <c r="C4" s="24" t="s">
        <v>34</v>
      </c>
      <c r="D4" s="24" t="s">
        <v>35</v>
      </c>
      <c r="E4" s="14" t="s">
        <v>36</v>
      </c>
    </row>
    <row r="5" customFormat="1" spans="1:5">
      <c r="A5" s="25">
        <v>1</v>
      </c>
      <c r="B5" t="s">
        <v>37</v>
      </c>
      <c r="D5" s="26"/>
      <c r="E5" s="26"/>
    </row>
    <row r="6" customFormat="1" spans="1:5">
      <c r="A6" s="25">
        <v>2</v>
      </c>
      <c r="B6" t="s">
        <v>38</v>
      </c>
      <c r="D6" s="26"/>
      <c r="E6" s="26"/>
    </row>
    <row r="7" customFormat="1" spans="1:5">
      <c r="A7" s="25">
        <v>3</v>
      </c>
      <c r="B7" t="s">
        <v>39</v>
      </c>
      <c r="D7" s="26"/>
      <c r="E7" s="26"/>
    </row>
    <row r="8" customFormat="1" spans="1:5">
      <c r="A8" s="25">
        <v>4</v>
      </c>
      <c r="B8" t="s">
        <v>40</v>
      </c>
      <c r="D8" s="26"/>
      <c r="E8" s="26"/>
    </row>
    <row r="9" customFormat="1" spans="1:5">
      <c r="A9" s="25">
        <v>5</v>
      </c>
      <c r="B9" t="s">
        <v>41</v>
      </c>
      <c r="D9" s="27">
        <v>713</v>
      </c>
      <c r="E9" s="27" t="s">
        <v>123</v>
      </c>
    </row>
    <row r="10" customFormat="1" ht="34.05" customHeight="1" spans="1:5">
      <c r="A10" s="25">
        <v>6</v>
      </c>
      <c r="B10" t="s">
        <v>42</v>
      </c>
      <c r="D10" s="27">
        <v>4952</v>
      </c>
      <c r="E10" s="29" t="s">
        <v>124</v>
      </c>
    </row>
    <row r="11" customFormat="1" ht="25.5" spans="1:5">
      <c r="A11" s="25">
        <v>7</v>
      </c>
      <c r="B11" t="s">
        <v>42</v>
      </c>
      <c r="D11" s="27">
        <v>125447</v>
      </c>
      <c r="E11" s="29" t="s">
        <v>125</v>
      </c>
    </row>
    <row r="12" customFormat="1" spans="1:5">
      <c r="A12" s="25">
        <v>8</v>
      </c>
      <c r="B12" t="s">
        <v>42</v>
      </c>
      <c r="D12" s="27">
        <v>183900</v>
      </c>
      <c r="E12" s="27" t="s">
        <v>126</v>
      </c>
    </row>
    <row r="13" customFormat="1" spans="1:5">
      <c r="A13" s="25">
        <v>9</v>
      </c>
      <c r="B13" t="s">
        <v>42</v>
      </c>
      <c r="D13" s="27">
        <v>85716</v>
      </c>
      <c r="E13" s="27" t="s">
        <v>127</v>
      </c>
    </row>
    <row r="14" customFormat="1" ht="25.5" spans="1:5">
      <c r="A14" s="25">
        <v>10</v>
      </c>
      <c r="B14" t="s">
        <v>42</v>
      </c>
      <c r="D14" s="27">
        <v>20000</v>
      </c>
      <c r="E14" s="64" t="s">
        <v>128</v>
      </c>
    </row>
    <row r="15" customFormat="1" spans="1:5">
      <c r="A15" s="25">
        <v>11</v>
      </c>
      <c r="B15" t="s">
        <v>42</v>
      </c>
      <c r="D15" s="27">
        <v>4455</v>
      </c>
      <c r="E15" s="27" t="s">
        <v>129</v>
      </c>
    </row>
    <row r="16" customFormat="1" ht="25.5" spans="1:5">
      <c r="A16" s="25">
        <v>12</v>
      </c>
      <c r="B16" t="s">
        <v>42</v>
      </c>
      <c r="D16" s="27">
        <v>10601</v>
      </c>
      <c r="E16" s="29" t="s">
        <v>130</v>
      </c>
    </row>
    <row r="17" customFormat="1" spans="1:5">
      <c r="A17" s="25">
        <v>13</v>
      </c>
      <c r="B17" s="32" t="s">
        <v>44</v>
      </c>
      <c r="C17" s="32"/>
      <c r="D17" s="33">
        <f>SUM(D5:D16)</f>
        <v>435784</v>
      </c>
      <c r="E17" s="33"/>
    </row>
    <row r="18" ht="51" spans="1:6">
      <c r="A18" s="25">
        <v>14</v>
      </c>
      <c r="B18" s="7" t="s">
        <v>45</v>
      </c>
      <c r="C18" s="34" t="s">
        <v>46</v>
      </c>
      <c r="D18" s="34" t="s">
        <v>47</v>
      </c>
      <c r="E18" s="34" t="s">
        <v>48</v>
      </c>
      <c r="F18" s="16"/>
    </row>
    <row r="19" customFormat="1" spans="1:5">
      <c r="A19" s="25">
        <v>15</v>
      </c>
      <c r="B19" t="s">
        <v>49</v>
      </c>
      <c r="C19" s="19"/>
      <c r="D19" s="19">
        <v>0</v>
      </c>
      <c r="E19" s="2"/>
    </row>
    <row r="20" customFormat="1" spans="1:5">
      <c r="A20" s="25">
        <v>16</v>
      </c>
      <c r="B20" t="s">
        <v>50</v>
      </c>
      <c r="C20" s="17"/>
      <c r="D20" s="19">
        <v>42243</v>
      </c>
      <c r="E20" s="2"/>
    </row>
    <row r="21" customFormat="1" spans="1:6">
      <c r="A21" s="25">
        <v>17</v>
      </c>
      <c r="B21" t="s">
        <v>51</v>
      </c>
      <c r="C21" s="17"/>
      <c r="D21" s="19">
        <f>D20-D19-D17</f>
        <v>-393541</v>
      </c>
      <c r="E21" s="35"/>
      <c r="F21" s="35"/>
    </row>
    <row r="22" customFormat="1" spans="1:5">
      <c r="A22" s="25">
        <v>18</v>
      </c>
      <c r="B22" t="s">
        <v>52</v>
      </c>
      <c r="C22" s="17"/>
      <c r="D22" s="19"/>
      <c r="E22" s="35"/>
    </row>
    <row r="23" customFormat="1" spans="1:5">
      <c r="A23" s="25">
        <v>19</v>
      </c>
      <c r="B23" t="s">
        <v>53</v>
      </c>
      <c r="C23" s="17"/>
      <c r="D23" s="17">
        <f>SUM(D21:D22)</f>
        <v>-393541</v>
      </c>
      <c r="E23" s="35"/>
    </row>
    <row r="24" customFormat="1" spans="1:5">
      <c r="A24" s="25">
        <v>20</v>
      </c>
      <c r="B24" s="32" t="s">
        <v>54</v>
      </c>
      <c r="C24" s="36"/>
      <c r="D24" s="36"/>
      <c r="E24" s="36"/>
    </row>
    <row r="25" customFormat="1" spans="1:5">
      <c r="A25" s="25">
        <v>21</v>
      </c>
      <c r="B25" t="s">
        <v>55</v>
      </c>
      <c r="C25" s="17"/>
      <c r="D25" s="17"/>
      <c r="E25" s="35"/>
    </row>
    <row r="26" customFormat="1" spans="1:4">
      <c r="A26" s="25">
        <v>22</v>
      </c>
      <c r="B26" t="s">
        <v>56</v>
      </c>
      <c r="C26" s="17"/>
      <c r="D26" s="17"/>
    </row>
    <row r="27" customFormat="1" spans="1:5">
      <c r="A27" s="25">
        <v>23</v>
      </c>
      <c r="B27" t="s">
        <v>57</v>
      </c>
      <c r="C27" s="17"/>
      <c r="D27" s="17"/>
      <c r="E27" s="35"/>
    </row>
    <row r="28" customFormat="1" spans="1:5">
      <c r="A28" s="25">
        <v>24</v>
      </c>
      <c r="B28" t="s">
        <v>57</v>
      </c>
      <c r="C28" s="17"/>
      <c r="D28" s="17"/>
      <c r="E28" s="35"/>
    </row>
    <row r="29" customFormat="1" spans="1:5">
      <c r="A29" s="25">
        <v>25</v>
      </c>
      <c r="B29" t="s">
        <v>57</v>
      </c>
      <c r="C29" s="17"/>
      <c r="D29" s="17"/>
      <c r="E29" s="35"/>
    </row>
    <row r="30" customFormat="1" spans="1:5">
      <c r="A30" s="25">
        <v>26</v>
      </c>
      <c r="B30" t="s">
        <v>57</v>
      </c>
      <c r="C30" s="17"/>
      <c r="D30" s="17"/>
      <c r="E30" s="35"/>
    </row>
    <row r="31" customFormat="1" spans="1:4">
      <c r="A31" s="25">
        <v>27</v>
      </c>
      <c r="B31" t="s">
        <v>58</v>
      </c>
      <c r="C31" s="17"/>
      <c r="D31" s="17"/>
    </row>
    <row r="32" customFormat="1" spans="1:4">
      <c r="A32" s="25">
        <v>28</v>
      </c>
      <c r="B32" t="s">
        <v>59</v>
      </c>
      <c r="C32" s="17"/>
      <c r="D32" s="17"/>
    </row>
    <row r="33" customFormat="1" spans="1:4">
      <c r="A33" s="25">
        <v>29</v>
      </c>
      <c r="B33" t="s">
        <v>60</v>
      </c>
      <c r="C33" s="17"/>
      <c r="D33" s="17">
        <f>SUM(D25:D30)-D31-D32</f>
        <v>0</v>
      </c>
    </row>
    <row r="34" customFormat="1" spans="1:5">
      <c r="A34" s="25">
        <v>30</v>
      </c>
      <c r="B34" s="32" t="s">
        <v>61</v>
      </c>
      <c r="C34" s="36"/>
      <c r="D34" s="36"/>
      <c r="E34" s="36"/>
    </row>
    <row r="35" customFormat="1" spans="1:4">
      <c r="A35" s="25">
        <v>31</v>
      </c>
      <c r="B35" t="s">
        <v>62</v>
      </c>
      <c r="C35" s="37"/>
      <c r="D35" s="38">
        <v>0</v>
      </c>
    </row>
    <row r="36" customFormat="1" spans="1:5">
      <c r="A36" s="25">
        <v>32</v>
      </c>
      <c r="B36" t="s">
        <v>63</v>
      </c>
      <c r="C36" s="19"/>
      <c r="D36" s="17">
        <v>0</v>
      </c>
      <c r="E36" s="35"/>
    </row>
    <row r="37" customFormat="1" spans="1:5">
      <c r="A37" s="25">
        <v>33</v>
      </c>
      <c r="B37" s="8" t="s">
        <v>45</v>
      </c>
      <c r="C37" s="32"/>
      <c r="D37" s="39" t="s">
        <v>35</v>
      </c>
      <c r="E37" s="8" t="s">
        <v>48</v>
      </c>
    </row>
    <row r="38" customFormat="1" spans="1:4">
      <c r="A38" s="25">
        <v>34</v>
      </c>
      <c r="B38" t="s">
        <v>64</v>
      </c>
      <c r="D38" s="26"/>
    </row>
    <row r="39" customFormat="1" spans="1:4">
      <c r="A39" s="25">
        <v>35</v>
      </c>
      <c r="B39" t="s">
        <v>65</v>
      </c>
      <c r="D39" s="26"/>
    </row>
    <row r="40" customFormat="1" spans="1:4">
      <c r="A40" s="25">
        <v>36</v>
      </c>
      <c r="B40" t="s">
        <v>66</v>
      </c>
      <c r="D40" s="26"/>
    </row>
    <row r="41" customFormat="1" spans="1:5">
      <c r="A41" s="25">
        <v>37</v>
      </c>
      <c r="B41" s="32" t="s">
        <v>67</v>
      </c>
      <c r="C41" s="32"/>
      <c r="D41" s="33">
        <f>SUM(D38:D40)</f>
        <v>0</v>
      </c>
      <c r="E41" s="32"/>
    </row>
    <row r="42" customFormat="1" spans="1:4">
      <c r="A42" s="25">
        <v>38</v>
      </c>
      <c r="B42" t="s">
        <v>68</v>
      </c>
      <c r="D42" s="26"/>
    </row>
    <row r="43" customFormat="1" spans="1:4">
      <c r="A43" s="25">
        <v>39</v>
      </c>
      <c r="B43" t="s">
        <v>69</v>
      </c>
      <c r="D43" s="26"/>
    </row>
    <row r="44" customFormat="1" spans="1:5">
      <c r="A44" s="25">
        <v>40</v>
      </c>
      <c r="B44" s="32" t="s">
        <v>70</v>
      </c>
      <c r="C44" s="32"/>
      <c r="D44" s="33">
        <f>SUM(D42:D43)</f>
        <v>0</v>
      </c>
      <c r="E44" s="32"/>
    </row>
    <row r="45" customFormat="1" spans="1:5">
      <c r="A45" s="25">
        <v>41</v>
      </c>
      <c r="B45" s="32" t="s">
        <v>71</v>
      </c>
      <c r="C45" s="32"/>
      <c r="D45" s="33">
        <f>D41-D44</f>
        <v>0</v>
      </c>
      <c r="E45" s="32"/>
    </row>
    <row r="46" spans="1:9">
      <c r="A46" s="25">
        <v>42</v>
      </c>
      <c r="B46" t="s">
        <v>72</v>
      </c>
      <c r="C46"/>
      <c r="D46"/>
      <c r="E46" s="17"/>
      <c r="F46" s="38"/>
      <c r="G46" s="38"/>
      <c r="H46" s="38"/>
      <c r="I46" s="38"/>
    </row>
    <row r="47" customFormat="1" spans="1:9">
      <c r="A47" s="25">
        <v>43</v>
      </c>
      <c r="B47" s="7" t="s">
        <v>73</v>
      </c>
      <c r="C47" s="34" t="s">
        <v>74</v>
      </c>
      <c r="D47" s="34" t="s">
        <v>75</v>
      </c>
      <c r="E47" s="32" t="s">
        <v>76</v>
      </c>
      <c r="G47" s="40"/>
      <c r="H47" s="40"/>
      <c r="I47" s="40"/>
    </row>
    <row r="48" spans="1:9">
      <c r="A48" s="25">
        <v>44</v>
      </c>
      <c r="B48" s="48"/>
      <c r="C48" s="49"/>
      <c r="D48" s="2"/>
      <c r="E48" s="19"/>
      <c r="F48" s="37"/>
      <c r="G48" s="44"/>
      <c r="H48" s="37"/>
      <c r="I48" s="37"/>
    </row>
    <row r="49" spans="1:9">
      <c r="A49" s="25">
        <v>45</v>
      </c>
      <c r="B49" s="48"/>
      <c r="C49" s="49"/>
      <c r="D49" s="2"/>
      <c r="E49" s="19"/>
      <c r="F49" s="37"/>
      <c r="G49" s="44"/>
      <c r="H49" s="37"/>
      <c r="I49" s="37"/>
    </row>
    <row r="50" spans="1:9">
      <c r="A50" s="25">
        <v>46</v>
      </c>
      <c r="B50" s="48"/>
      <c r="C50" s="49"/>
      <c r="D50" s="2"/>
      <c r="E50" s="19"/>
      <c r="F50" s="37"/>
      <c r="G50" s="44"/>
      <c r="H50" s="37"/>
      <c r="I50" s="37"/>
    </row>
    <row r="51" spans="1:9">
      <c r="A51" s="25">
        <v>47</v>
      </c>
      <c r="B51" s="48"/>
      <c r="C51" s="49"/>
      <c r="D51" s="2"/>
      <c r="E51" s="19"/>
      <c r="F51" s="37"/>
      <c r="G51" s="44"/>
      <c r="H51" s="37"/>
      <c r="I51" s="37"/>
    </row>
    <row r="52" spans="1:9">
      <c r="A52" s="25">
        <v>48</v>
      </c>
      <c r="B52" s="48"/>
      <c r="C52" s="49"/>
      <c r="D52" s="2"/>
      <c r="E52" s="19"/>
      <c r="F52" s="37"/>
      <c r="G52" s="44"/>
      <c r="H52" s="37"/>
      <c r="I52" s="37"/>
    </row>
    <row r="53" spans="1:9">
      <c r="A53" s="25">
        <v>49</v>
      </c>
      <c r="B53" s="48"/>
      <c r="C53" s="49"/>
      <c r="D53" s="2"/>
      <c r="E53" s="19"/>
      <c r="F53" s="37"/>
      <c r="G53" s="37"/>
      <c r="H53" s="37"/>
      <c r="I53" s="37"/>
    </row>
    <row r="54" spans="1:9">
      <c r="A54" s="25">
        <v>50</v>
      </c>
      <c r="B54" s="32" t="s">
        <v>77</v>
      </c>
      <c r="C54" s="50"/>
      <c r="D54" s="50"/>
      <c r="E54" s="52">
        <f>SUM(E48:E53)</f>
        <v>0</v>
      </c>
      <c r="F54" s="37"/>
      <c r="G54" s="37"/>
      <c r="H54" s="37"/>
      <c r="I54" s="37"/>
    </row>
  </sheetData>
  <printOptions gridLines="1"/>
  <pageMargins left="0.75" right="0.75" top="1" bottom="1" header="0.5" footer="0.5"/>
  <pageSetup paperSize="9" scale="76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zoomScale="106" zoomScaleNormal="106" workbookViewId="0">
      <selection activeCell="D13" sqref="D19 D13"/>
    </sheetView>
  </sheetViews>
  <sheetFormatPr defaultColWidth="8.77777777777778" defaultRowHeight="12.75"/>
  <cols>
    <col min="1" max="1" width="5.33333333333333" style="1" customWidth="1"/>
    <col min="2" max="2" width="39.7777777777778" customWidth="1"/>
    <col min="3" max="4" width="12.7777777777778" style="17" customWidth="1"/>
    <col min="5" max="5" width="36.3333333333333" customWidth="1"/>
    <col min="6" max="6" width="10" customWidth="1"/>
  </cols>
  <sheetData>
    <row r="1" spans="1:1">
      <c r="A1" s="1" t="s">
        <v>0</v>
      </c>
    </row>
    <row r="2" spans="1:4">
      <c r="A2" s="1" t="s">
        <v>131</v>
      </c>
      <c r="B2" s="2"/>
      <c r="C2" s="17" t="s">
        <v>30</v>
      </c>
      <c r="D2" s="19" t="s">
        <v>115</v>
      </c>
    </row>
    <row r="3" spans="1:8">
      <c r="A3" s="1" t="s">
        <v>132</v>
      </c>
      <c r="B3" s="2"/>
      <c r="C3" s="17" t="s">
        <v>2</v>
      </c>
      <c r="D3" s="55">
        <v>45898</v>
      </c>
      <c r="G3" s="21"/>
      <c r="H3" s="22"/>
    </row>
    <row r="4" s="16" customFormat="1" spans="1:5">
      <c r="A4" s="23" t="s">
        <v>3</v>
      </c>
      <c r="B4" s="8" t="s">
        <v>33</v>
      </c>
      <c r="C4" s="24" t="s">
        <v>34</v>
      </c>
      <c r="D4" s="24" t="s">
        <v>35</v>
      </c>
      <c r="E4" s="14" t="s">
        <v>36</v>
      </c>
    </row>
    <row r="5" spans="1:5">
      <c r="A5" s="25">
        <v>1</v>
      </c>
      <c r="B5" t="s">
        <v>37</v>
      </c>
      <c r="C5"/>
      <c r="D5" s="26"/>
      <c r="E5" s="26"/>
    </row>
    <row r="6" spans="1:5">
      <c r="A6" s="25">
        <v>2</v>
      </c>
      <c r="B6" t="s">
        <v>38</v>
      </c>
      <c r="C6"/>
      <c r="D6" s="26"/>
      <c r="E6" s="26"/>
    </row>
    <row r="7" spans="1:5">
      <c r="A7" s="25">
        <v>3</v>
      </c>
      <c r="B7" t="s">
        <v>39</v>
      </c>
      <c r="C7"/>
      <c r="D7" s="26"/>
      <c r="E7" s="26"/>
    </row>
    <row r="8" spans="1:5">
      <c r="A8" s="25">
        <v>4</v>
      </c>
      <c r="B8" t="s">
        <v>40</v>
      </c>
      <c r="C8"/>
      <c r="D8" s="26"/>
      <c r="E8" s="26"/>
    </row>
    <row r="9" spans="1:5">
      <c r="A9" s="25">
        <v>5</v>
      </c>
      <c r="B9" t="s">
        <v>41</v>
      </c>
      <c r="C9"/>
      <c r="D9" s="26"/>
      <c r="E9" s="56"/>
    </row>
    <row r="10" ht="12" customHeight="1" spans="1:5">
      <c r="A10" s="25">
        <v>6</v>
      </c>
      <c r="B10" t="s">
        <v>42</v>
      </c>
      <c r="C10"/>
      <c r="D10" s="57">
        <v>41250</v>
      </c>
      <c r="E10" s="58" t="s">
        <v>133</v>
      </c>
    </row>
    <row r="11" spans="1:5">
      <c r="A11" s="25">
        <v>7</v>
      </c>
      <c r="B11" t="s">
        <v>42</v>
      </c>
      <c r="C11"/>
      <c r="D11" s="59">
        <v>66755</v>
      </c>
      <c r="E11" s="60" t="s">
        <v>134</v>
      </c>
    </row>
    <row r="12" ht="25.5" spans="1:5">
      <c r="A12" s="25">
        <v>8</v>
      </c>
      <c r="B12" t="s">
        <v>42</v>
      </c>
      <c r="C12"/>
      <c r="D12" s="26">
        <v>1180</v>
      </c>
      <c r="E12" s="56" t="s">
        <v>135</v>
      </c>
    </row>
    <row r="13" spans="1:5">
      <c r="A13" s="25">
        <v>9</v>
      </c>
      <c r="B13" s="32" t="s">
        <v>44</v>
      </c>
      <c r="C13" s="32"/>
      <c r="D13" s="33">
        <f>SUM(D5:D12)</f>
        <v>109185</v>
      </c>
      <c r="E13" s="33"/>
    </row>
    <row r="14" ht="51" spans="1:6">
      <c r="A14" s="25">
        <v>10</v>
      </c>
      <c r="B14" s="7" t="s">
        <v>45</v>
      </c>
      <c r="C14" s="34" t="s">
        <v>46</v>
      </c>
      <c r="D14" s="34" t="s">
        <v>47</v>
      </c>
      <c r="E14" s="34" t="s">
        <v>48</v>
      </c>
      <c r="F14" s="16"/>
    </row>
    <row r="15" spans="1:5">
      <c r="A15" s="25">
        <v>11</v>
      </c>
      <c r="B15" t="s">
        <v>49</v>
      </c>
      <c r="C15" s="19"/>
      <c r="D15" s="19">
        <v>0</v>
      </c>
      <c r="E15" s="2"/>
    </row>
    <row r="16" spans="1:5">
      <c r="A16" s="25">
        <v>12</v>
      </c>
      <c r="B16" t="s">
        <v>50</v>
      </c>
      <c r="D16" s="19">
        <f>112978-7822</f>
        <v>105156</v>
      </c>
      <c r="E16" s="2"/>
    </row>
    <row r="17" spans="1:6">
      <c r="A17" s="25">
        <v>13</v>
      </c>
      <c r="B17" t="s">
        <v>51</v>
      </c>
      <c r="D17" s="19">
        <f>D16-D15-D13</f>
        <v>-4029</v>
      </c>
      <c r="E17" s="35"/>
      <c r="F17" s="35"/>
    </row>
    <row r="18" spans="1:5">
      <c r="A18" s="25">
        <v>14</v>
      </c>
      <c r="B18" t="s">
        <v>52</v>
      </c>
      <c r="D18" s="19">
        <v>180000</v>
      </c>
      <c r="E18" s="35"/>
    </row>
    <row r="19" spans="1:5">
      <c r="A19" s="25">
        <v>15</v>
      </c>
      <c r="B19" t="s">
        <v>53</v>
      </c>
      <c r="D19" s="17">
        <f>SUM(D17:D18)</f>
        <v>175971</v>
      </c>
      <c r="E19" s="35"/>
    </row>
    <row r="20" spans="1:5">
      <c r="A20" s="25">
        <v>16</v>
      </c>
      <c r="B20" s="32" t="s">
        <v>54</v>
      </c>
      <c r="C20" s="36"/>
      <c r="D20" s="36"/>
      <c r="E20" s="36"/>
    </row>
    <row r="21" spans="1:5">
      <c r="A21" s="25">
        <v>17</v>
      </c>
      <c r="B21" t="s">
        <v>55</v>
      </c>
      <c r="E21" s="35"/>
    </row>
    <row r="22" spans="1:2">
      <c r="A22" s="25">
        <v>18</v>
      </c>
      <c r="B22" t="s">
        <v>56</v>
      </c>
    </row>
    <row r="23" spans="1:5">
      <c r="A23" s="25">
        <v>19</v>
      </c>
      <c r="B23" t="s">
        <v>57</v>
      </c>
      <c r="E23" s="35"/>
    </row>
    <row r="24" spans="1:5">
      <c r="A24" s="25">
        <v>20</v>
      </c>
      <c r="B24" t="s">
        <v>57</v>
      </c>
      <c r="E24" s="35"/>
    </row>
    <row r="25" spans="1:5">
      <c r="A25" s="25">
        <v>21</v>
      </c>
      <c r="B25" t="s">
        <v>57</v>
      </c>
      <c r="E25" s="35"/>
    </row>
    <row r="26" spans="1:5">
      <c r="A26" s="25">
        <v>22</v>
      </c>
      <c r="B26" t="s">
        <v>57</v>
      </c>
      <c r="E26" s="35"/>
    </row>
    <row r="27" spans="1:2">
      <c r="A27" s="25">
        <v>23</v>
      </c>
      <c r="B27" t="s">
        <v>58</v>
      </c>
    </row>
    <row r="28" spans="1:2">
      <c r="A28" s="25">
        <v>24</v>
      </c>
      <c r="B28" t="s">
        <v>59</v>
      </c>
    </row>
    <row r="29" spans="1:4">
      <c r="A29" s="25">
        <v>25</v>
      </c>
      <c r="B29" t="s">
        <v>60</v>
      </c>
      <c r="D29" s="17">
        <f>SUM(D21:D26)-D27-D28</f>
        <v>0</v>
      </c>
    </row>
    <row r="30" spans="1:5">
      <c r="A30" s="25">
        <v>26</v>
      </c>
      <c r="B30" s="32" t="s">
        <v>61</v>
      </c>
      <c r="C30" s="36"/>
      <c r="D30" s="36"/>
      <c r="E30" s="36"/>
    </row>
    <row r="31" spans="1:4">
      <c r="A31" s="25">
        <v>27</v>
      </c>
      <c r="B31" t="s">
        <v>62</v>
      </c>
      <c r="C31" s="37"/>
      <c r="D31" s="38">
        <v>0</v>
      </c>
    </row>
    <row r="32" spans="1:5">
      <c r="A32" s="25">
        <v>28</v>
      </c>
      <c r="B32" t="s">
        <v>63</v>
      </c>
      <c r="C32" s="19"/>
      <c r="D32" s="17">
        <f>104160+25960+11760+11760</f>
        <v>153640</v>
      </c>
      <c r="E32" s="35"/>
    </row>
    <row r="33" spans="1:5">
      <c r="A33" s="25">
        <v>29</v>
      </c>
      <c r="B33" s="8" t="s">
        <v>45</v>
      </c>
      <c r="C33" s="32"/>
      <c r="D33" s="39" t="s">
        <v>35</v>
      </c>
      <c r="E33" s="8" t="s">
        <v>48</v>
      </c>
    </row>
    <row r="34" spans="1:4">
      <c r="A34" s="25">
        <v>30</v>
      </c>
      <c r="B34" t="s">
        <v>64</v>
      </c>
      <c r="C34"/>
      <c r="D34" s="26"/>
    </row>
    <row r="35" spans="1:4">
      <c r="A35" s="25">
        <v>31</v>
      </c>
      <c r="B35" t="s">
        <v>65</v>
      </c>
      <c r="C35"/>
      <c r="D35" s="26"/>
    </row>
    <row r="36" spans="1:4">
      <c r="A36" s="25">
        <v>32</v>
      </c>
      <c r="B36" t="s">
        <v>66</v>
      </c>
      <c r="C36"/>
      <c r="D36" s="26"/>
    </row>
    <row r="37" spans="1:5">
      <c r="A37" s="25">
        <v>33</v>
      </c>
      <c r="B37" s="32" t="s">
        <v>67</v>
      </c>
      <c r="C37" s="32"/>
      <c r="D37" s="33">
        <f>SUM(D34:D36)</f>
        <v>0</v>
      </c>
      <c r="E37" s="32"/>
    </row>
    <row r="38" spans="1:4">
      <c r="A38" s="25">
        <v>34</v>
      </c>
      <c r="B38" t="s">
        <v>68</v>
      </c>
      <c r="C38"/>
      <c r="D38" s="26"/>
    </row>
    <row r="39" spans="1:4">
      <c r="A39" s="25">
        <v>35</v>
      </c>
      <c r="B39" t="s">
        <v>69</v>
      </c>
      <c r="C39"/>
      <c r="D39" s="26"/>
    </row>
    <row r="40" spans="1:5">
      <c r="A40" s="25">
        <v>36</v>
      </c>
      <c r="B40" s="32" t="s">
        <v>70</v>
      </c>
      <c r="C40" s="32"/>
      <c r="D40" s="33">
        <f>SUM(D38:D39)</f>
        <v>0</v>
      </c>
      <c r="E40" s="32"/>
    </row>
    <row r="41" spans="1:5">
      <c r="A41" s="25">
        <v>37</v>
      </c>
      <c r="B41" s="32" t="s">
        <v>71</v>
      </c>
      <c r="C41" s="32"/>
      <c r="D41" s="33">
        <f>D37-D40</f>
        <v>0</v>
      </c>
      <c r="E41" s="32"/>
    </row>
    <row r="42" spans="1:9">
      <c r="A42" s="25">
        <v>38</v>
      </c>
      <c r="B42" t="s">
        <v>72</v>
      </c>
      <c r="C42"/>
      <c r="D42"/>
      <c r="E42" s="17"/>
      <c r="F42" s="38"/>
      <c r="G42" s="38"/>
      <c r="H42" s="38"/>
      <c r="I42" s="38"/>
    </row>
    <row r="43" spans="1:9">
      <c r="A43" s="25">
        <v>39</v>
      </c>
      <c r="B43" s="7" t="s">
        <v>73</v>
      </c>
      <c r="C43" s="34" t="s">
        <v>74</v>
      </c>
      <c r="D43" s="34" t="s">
        <v>75</v>
      </c>
      <c r="E43" s="32" t="s">
        <v>76</v>
      </c>
      <c r="G43" s="40"/>
      <c r="H43" s="40"/>
      <c r="I43" s="40"/>
    </row>
    <row r="44" spans="1:9">
      <c r="A44" s="25">
        <v>40</v>
      </c>
      <c r="B44" s="61" t="s">
        <v>136</v>
      </c>
      <c r="C44" s="59">
        <v>10206</v>
      </c>
      <c r="D44" s="59">
        <v>10206</v>
      </c>
      <c r="E44" s="19"/>
      <c r="F44" s="37"/>
      <c r="G44" s="44"/>
      <c r="H44" s="37"/>
      <c r="I44" s="37"/>
    </row>
    <row r="45" spans="1:9">
      <c r="A45" s="25">
        <v>41</v>
      </c>
      <c r="B45" s="41"/>
      <c r="C45" s="49"/>
      <c r="D45" s="62"/>
      <c r="E45" s="19"/>
      <c r="F45" s="37"/>
      <c r="G45" s="44"/>
      <c r="H45" s="37"/>
      <c r="I45" s="37"/>
    </row>
    <row r="46" spans="1:9">
      <c r="A46" s="25">
        <v>42</v>
      </c>
      <c r="B46" s="48"/>
      <c r="C46" s="49"/>
      <c r="D46" s="2"/>
      <c r="E46" s="19"/>
      <c r="F46" s="37"/>
      <c r="G46" s="44"/>
      <c r="H46" s="37"/>
      <c r="I46" s="37"/>
    </row>
    <row r="47" spans="1:9">
      <c r="A47" s="25">
        <v>43</v>
      </c>
      <c r="B47" s="48"/>
      <c r="C47" s="49"/>
      <c r="D47" s="2"/>
      <c r="E47" s="19"/>
      <c r="F47" s="37"/>
      <c r="G47" s="44"/>
      <c r="H47" s="37"/>
      <c r="I47" s="37"/>
    </row>
    <row r="48" spans="1:9">
      <c r="A48" s="25">
        <v>44</v>
      </c>
      <c r="B48" s="48"/>
      <c r="C48" s="49"/>
      <c r="D48" s="2"/>
      <c r="E48" s="19"/>
      <c r="F48" s="37"/>
      <c r="G48" s="44"/>
      <c r="H48" s="37"/>
      <c r="I48" s="37"/>
    </row>
    <row r="49" spans="1:9">
      <c r="A49" s="25">
        <v>45</v>
      </c>
      <c r="B49" s="48"/>
      <c r="C49" s="49"/>
      <c r="D49" s="2"/>
      <c r="E49" s="19"/>
      <c r="F49" s="37"/>
      <c r="G49" s="44"/>
      <c r="H49" s="37"/>
      <c r="I49" s="37"/>
    </row>
    <row r="50" spans="1:9">
      <c r="A50" s="25">
        <v>46</v>
      </c>
      <c r="B50" s="48"/>
      <c r="C50" s="49"/>
      <c r="D50" s="2"/>
      <c r="E50" s="19"/>
      <c r="F50" s="37"/>
      <c r="G50" s="37"/>
      <c r="H50" s="37"/>
      <c r="I50" s="37"/>
    </row>
    <row r="51" spans="1:9">
      <c r="A51" s="25">
        <v>47</v>
      </c>
      <c r="B51" s="48"/>
      <c r="C51" s="49"/>
      <c r="D51" s="2"/>
      <c r="E51" s="19"/>
      <c r="F51" s="37"/>
      <c r="G51" s="44"/>
      <c r="H51" s="44"/>
      <c r="I51" s="44"/>
    </row>
    <row r="52" spans="1:9">
      <c r="A52" s="25">
        <v>48</v>
      </c>
      <c r="B52" s="48"/>
      <c r="C52" s="49"/>
      <c r="D52" s="2"/>
      <c r="E52" s="19"/>
      <c r="F52" s="37"/>
      <c r="G52" s="44"/>
      <c r="H52" s="37"/>
      <c r="I52" s="37"/>
    </row>
    <row r="53" spans="1:9">
      <c r="A53" s="25">
        <v>49</v>
      </c>
      <c r="B53" s="48"/>
      <c r="C53" s="49"/>
      <c r="D53" s="2"/>
      <c r="E53" s="19"/>
      <c r="F53" s="37"/>
      <c r="G53" s="37"/>
      <c r="H53" s="37"/>
      <c r="I53" s="37"/>
    </row>
    <row r="54" spans="1:9">
      <c r="A54" s="25">
        <v>50</v>
      </c>
      <c r="B54" s="32" t="s">
        <v>77</v>
      </c>
      <c r="C54" s="50"/>
      <c r="D54" s="63">
        <f>SUM(D44:D53)</f>
        <v>10206</v>
      </c>
      <c r="E54" s="52">
        <f>SUM(E44:E53)</f>
        <v>0</v>
      </c>
      <c r="F54" s="37"/>
      <c r="G54" s="37"/>
      <c r="H54" s="37"/>
      <c r="I54" s="37"/>
    </row>
  </sheetData>
  <sheetProtection selectLockedCells="1"/>
  <printOptions gridLines="1"/>
  <pageMargins left="0.708661417322835" right="0.708661417322835" top="0.748031496062992" bottom="0.748031496062992" header="0.31496062992126" footer="0.31496062992126"/>
  <pageSetup paperSize="9" scale="91" orientation="portrait" horizontalDpi="300" verticalDpi="300"/>
  <headerFooter>
    <oddHeader>&amp;C&amp;F 
&amp;A</oddHeader>
    <oddFooter>&amp;CPage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view="pageBreakPreview" zoomScaleNormal="100" topLeftCell="A37" workbookViewId="0">
      <selection activeCell="I47" sqref="I47"/>
    </sheetView>
  </sheetViews>
  <sheetFormatPr defaultColWidth="8.77777777777778" defaultRowHeight="12.75" outlineLevelCol="7"/>
  <cols>
    <col min="1" max="1" width="5.33333333333333" style="1" customWidth="1"/>
    <col min="2" max="2" width="39.7777777777778" customWidth="1"/>
    <col min="3" max="3" width="13.4444444444444" style="17" customWidth="1"/>
    <col min="4" max="4" width="12.7777777777778" style="17" customWidth="1"/>
    <col min="5" max="5" width="43.5222222222222" customWidth="1"/>
  </cols>
  <sheetData>
    <row r="1" spans="1:1">
      <c r="A1" s="1" t="s">
        <v>0</v>
      </c>
    </row>
    <row r="2" spans="1:4">
      <c r="A2" s="1" t="s">
        <v>137</v>
      </c>
      <c r="B2" s="2"/>
      <c r="C2" s="17" t="s">
        <v>30</v>
      </c>
      <c r="D2" s="19" t="s">
        <v>31</v>
      </c>
    </row>
    <row r="3" spans="1:7">
      <c r="A3" s="1" t="s">
        <v>138</v>
      </c>
      <c r="B3" s="2"/>
      <c r="C3" s="17" t="s">
        <v>2</v>
      </c>
      <c r="D3" s="55">
        <f>'1. Bank balance statement'!B3</f>
        <v>45996</v>
      </c>
      <c r="F3" s="21"/>
      <c r="G3" s="22"/>
    </row>
    <row r="4" s="16" customFormat="1" spans="1:5">
      <c r="A4" s="23" t="s">
        <v>3</v>
      </c>
      <c r="B4" s="8" t="s">
        <v>33</v>
      </c>
      <c r="C4" s="24" t="s">
        <v>34</v>
      </c>
      <c r="D4" s="24" t="s">
        <v>35</v>
      </c>
      <c r="E4" s="14" t="s">
        <v>36</v>
      </c>
    </row>
    <row r="5" spans="1:5">
      <c r="A5" s="25">
        <v>1</v>
      </c>
      <c r="B5" t="s">
        <v>37</v>
      </c>
      <c r="C5"/>
      <c r="D5" s="26"/>
      <c r="E5" s="26"/>
    </row>
    <row r="6" spans="1:5">
      <c r="A6" s="25">
        <v>2</v>
      </c>
      <c r="B6" t="s">
        <v>38</v>
      </c>
      <c r="C6"/>
      <c r="D6" s="26"/>
      <c r="E6" s="26"/>
    </row>
    <row r="7" spans="1:5">
      <c r="A7" s="25">
        <v>3</v>
      </c>
      <c r="B7" t="s">
        <v>39</v>
      </c>
      <c r="C7"/>
      <c r="D7" s="26"/>
      <c r="E7" s="26"/>
    </row>
    <row r="8" spans="1:5">
      <c r="A8" s="25">
        <v>4</v>
      </c>
      <c r="B8" t="s">
        <v>40</v>
      </c>
      <c r="C8"/>
      <c r="D8" s="26"/>
      <c r="E8" s="26"/>
    </row>
    <row r="9" spans="1:5">
      <c r="A9" s="25">
        <v>5</v>
      </c>
      <c r="B9" t="s">
        <v>41</v>
      </c>
      <c r="C9"/>
      <c r="D9" s="26">
        <v>10000</v>
      </c>
      <c r="E9" s="26" t="s">
        <v>139</v>
      </c>
    </row>
    <row r="10" ht="12" customHeight="1" spans="1:6">
      <c r="A10" s="25">
        <v>6</v>
      </c>
      <c r="B10" t="s">
        <v>42</v>
      </c>
      <c r="C10"/>
      <c r="D10" s="26">
        <v>4455</v>
      </c>
      <c r="E10" s="26" t="s">
        <v>129</v>
      </c>
      <c r="F10" s="26"/>
    </row>
    <row r="11" ht="25.5" spans="1:5">
      <c r="A11" s="25">
        <v>7</v>
      </c>
      <c r="B11" t="s">
        <v>42</v>
      </c>
      <c r="C11"/>
      <c r="D11" s="26">
        <v>30000</v>
      </c>
      <c r="E11" s="56" t="s">
        <v>140</v>
      </c>
    </row>
    <row r="12" ht="31.95" customHeight="1" spans="1:5">
      <c r="A12" s="25">
        <v>8</v>
      </c>
      <c r="B12" t="s">
        <v>42</v>
      </c>
      <c r="C12"/>
      <c r="D12" s="53">
        <f>2950+1770+1180</f>
        <v>5900</v>
      </c>
      <c r="E12" s="54" t="s">
        <v>141</v>
      </c>
    </row>
    <row r="13" spans="1:5">
      <c r="A13" s="25">
        <v>9</v>
      </c>
      <c r="B13" s="32" t="s">
        <v>44</v>
      </c>
      <c r="C13" s="32"/>
      <c r="D13" s="33">
        <f>SUM(D5:D12)</f>
        <v>50355</v>
      </c>
      <c r="E13" s="33"/>
    </row>
    <row r="14" ht="51" spans="1:5">
      <c r="A14" s="25">
        <v>10</v>
      </c>
      <c r="B14" s="7" t="s">
        <v>45</v>
      </c>
      <c r="C14" s="34" t="s">
        <v>46</v>
      </c>
      <c r="D14" s="34" t="s">
        <v>47</v>
      </c>
      <c r="E14" s="34" t="s">
        <v>48</v>
      </c>
    </row>
    <row r="15" spans="1:5">
      <c r="A15" s="25">
        <v>11</v>
      </c>
      <c r="B15" t="s">
        <v>49</v>
      </c>
      <c r="C15" s="19"/>
      <c r="D15" s="19">
        <v>0</v>
      </c>
      <c r="E15" s="2"/>
    </row>
    <row r="16" spans="1:5">
      <c r="A16" s="25">
        <v>12</v>
      </c>
      <c r="B16" t="s">
        <v>50</v>
      </c>
      <c r="D16" s="19">
        <v>22490</v>
      </c>
      <c r="E16" s="2"/>
    </row>
    <row r="17" spans="1:5">
      <c r="A17" s="25">
        <v>13</v>
      </c>
      <c r="B17" t="s">
        <v>51</v>
      </c>
      <c r="D17" s="19">
        <f>D16-D15-D13</f>
        <v>-27865</v>
      </c>
      <c r="E17" s="35"/>
    </row>
    <row r="18" spans="1:5">
      <c r="A18" s="25">
        <v>14</v>
      </c>
      <c r="B18" t="s">
        <v>52</v>
      </c>
      <c r="D18" s="19">
        <v>0</v>
      </c>
      <c r="E18" s="35"/>
    </row>
    <row r="19" spans="1:5">
      <c r="A19" s="25">
        <v>15</v>
      </c>
      <c r="B19" t="s">
        <v>53</v>
      </c>
      <c r="D19" s="17">
        <f>SUM(D17:D18)</f>
        <v>-27865</v>
      </c>
      <c r="E19" s="35"/>
    </row>
    <row r="20" spans="1:5">
      <c r="A20" s="25">
        <v>16</v>
      </c>
      <c r="B20" s="32" t="s">
        <v>54</v>
      </c>
      <c r="C20" s="36"/>
      <c r="D20" s="36"/>
      <c r="E20" s="36"/>
    </row>
    <row r="21" spans="1:5">
      <c r="A21" s="25">
        <v>17</v>
      </c>
      <c r="B21" t="s">
        <v>55</v>
      </c>
      <c r="E21" s="35"/>
    </row>
    <row r="22" spans="1:2">
      <c r="A22" s="25">
        <v>18</v>
      </c>
      <c r="B22" t="s">
        <v>56</v>
      </c>
    </row>
    <row r="23" spans="1:5">
      <c r="A23" s="25">
        <v>19</v>
      </c>
      <c r="B23" t="s">
        <v>57</v>
      </c>
      <c r="E23" s="35"/>
    </row>
    <row r="24" spans="1:5">
      <c r="A24" s="25">
        <v>20</v>
      </c>
      <c r="B24" t="s">
        <v>57</v>
      </c>
      <c r="E24" s="35"/>
    </row>
    <row r="25" spans="1:5">
      <c r="A25" s="25">
        <v>21</v>
      </c>
      <c r="B25" t="s">
        <v>57</v>
      </c>
      <c r="E25" s="35"/>
    </row>
    <row r="26" spans="1:5">
      <c r="A26" s="25">
        <v>22</v>
      </c>
      <c r="B26" t="s">
        <v>57</v>
      </c>
      <c r="E26" s="35"/>
    </row>
    <row r="27" spans="1:2">
      <c r="A27" s="25">
        <v>23</v>
      </c>
      <c r="B27" t="s">
        <v>58</v>
      </c>
    </row>
    <row r="28" spans="1:2">
      <c r="A28" s="25">
        <v>24</v>
      </c>
      <c r="B28" t="s">
        <v>59</v>
      </c>
    </row>
    <row r="29" spans="1:4">
      <c r="A29" s="25">
        <v>25</v>
      </c>
      <c r="B29" t="s">
        <v>60</v>
      </c>
      <c r="D29" s="17">
        <f>SUM(D21:D26)-D27-D28</f>
        <v>0</v>
      </c>
    </row>
    <row r="30" spans="1:5">
      <c r="A30" s="25">
        <v>26</v>
      </c>
      <c r="B30" s="32" t="s">
        <v>61</v>
      </c>
      <c r="C30" s="36"/>
      <c r="D30" s="36"/>
      <c r="E30" s="36"/>
    </row>
    <row r="31" spans="1:4">
      <c r="A31" s="25">
        <v>27</v>
      </c>
      <c r="B31" t="s">
        <v>62</v>
      </c>
      <c r="C31" s="37"/>
      <c r="D31" s="38">
        <v>0</v>
      </c>
    </row>
    <row r="32" spans="1:5">
      <c r="A32" s="25">
        <v>28</v>
      </c>
      <c r="B32" t="s">
        <v>63</v>
      </c>
      <c r="C32" s="19"/>
      <c r="D32" s="17">
        <v>0</v>
      </c>
      <c r="E32" s="35"/>
    </row>
    <row r="33" spans="1:5">
      <c r="A33" s="25">
        <v>29</v>
      </c>
      <c r="B33" s="8" t="s">
        <v>45</v>
      </c>
      <c r="C33" s="32"/>
      <c r="D33" s="39" t="s">
        <v>35</v>
      </c>
      <c r="E33" s="8" t="s">
        <v>48</v>
      </c>
    </row>
    <row r="34" spans="1:4">
      <c r="A34" s="25">
        <v>30</v>
      </c>
      <c r="B34" t="s">
        <v>64</v>
      </c>
      <c r="C34"/>
      <c r="D34" s="26"/>
    </row>
    <row r="35" spans="1:4">
      <c r="A35" s="25">
        <v>31</v>
      </c>
      <c r="B35" t="s">
        <v>65</v>
      </c>
      <c r="C35"/>
      <c r="D35" s="26"/>
    </row>
    <row r="36" spans="1:4">
      <c r="A36" s="25">
        <v>32</v>
      </c>
      <c r="B36" t="s">
        <v>66</v>
      </c>
      <c r="C36"/>
      <c r="D36" s="26"/>
    </row>
    <row r="37" spans="1:5">
      <c r="A37" s="25">
        <v>33</v>
      </c>
      <c r="B37" s="32" t="s">
        <v>67</v>
      </c>
      <c r="C37" s="32"/>
      <c r="D37" s="33">
        <f>SUM(D34:D36)</f>
        <v>0</v>
      </c>
      <c r="E37" s="32"/>
    </row>
    <row r="38" spans="1:4">
      <c r="A38" s="25">
        <v>34</v>
      </c>
      <c r="B38" t="s">
        <v>68</v>
      </c>
      <c r="C38"/>
      <c r="D38" s="26"/>
    </row>
    <row r="39" spans="1:4">
      <c r="A39" s="25">
        <v>35</v>
      </c>
      <c r="B39" t="s">
        <v>69</v>
      </c>
      <c r="C39"/>
      <c r="D39" s="26"/>
    </row>
    <row r="40" spans="1:5">
      <c r="A40" s="25">
        <v>36</v>
      </c>
      <c r="B40" s="32" t="s">
        <v>70</v>
      </c>
      <c r="C40" s="32"/>
      <c r="D40" s="33">
        <f>SUM(D38:D39)</f>
        <v>0</v>
      </c>
      <c r="E40" s="32"/>
    </row>
    <row r="41" spans="1:5">
      <c r="A41" s="25">
        <v>37</v>
      </c>
      <c r="B41" s="32" t="s">
        <v>71</v>
      </c>
      <c r="C41" s="32"/>
      <c r="D41" s="33">
        <f>D37-D40</f>
        <v>0</v>
      </c>
      <c r="E41" s="32"/>
    </row>
    <row r="42" spans="1:8">
      <c r="A42" s="25">
        <v>38</v>
      </c>
      <c r="B42" t="s">
        <v>72</v>
      </c>
      <c r="C42"/>
      <c r="D42"/>
      <c r="E42" s="17"/>
      <c r="F42" s="38"/>
      <c r="G42" s="38"/>
      <c r="H42" s="38"/>
    </row>
    <row r="43" spans="1:8">
      <c r="A43" s="25">
        <v>39</v>
      </c>
      <c r="B43" s="7" t="s">
        <v>73</v>
      </c>
      <c r="C43" s="34" t="s">
        <v>74</v>
      </c>
      <c r="D43" s="34" t="s">
        <v>75</v>
      </c>
      <c r="E43" s="32" t="s">
        <v>76</v>
      </c>
      <c r="F43" s="40"/>
      <c r="G43" s="40"/>
      <c r="H43" s="40"/>
    </row>
    <row r="44" spans="1:8">
      <c r="A44" s="25">
        <v>40</v>
      </c>
      <c r="B44" s="48"/>
      <c r="C44" s="49"/>
      <c r="D44" s="2"/>
      <c r="E44" s="19"/>
      <c r="F44" s="44"/>
      <c r="G44" s="37"/>
      <c r="H44" s="37"/>
    </row>
    <row r="45" spans="1:8">
      <c r="A45" s="25">
        <v>41</v>
      </c>
      <c r="B45" s="48"/>
      <c r="C45" s="49"/>
      <c r="D45" s="2"/>
      <c r="E45" s="19"/>
      <c r="F45" s="44"/>
      <c r="G45" s="37"/>
      <c r="H45" s="37"/>
    </row>
    <row r="46" spans="1:8">
      <c r="A46" s="25">
        <v>42</v>
      </c>
      <c r="B46" s="48"/>
      <c r="C46" s="49"/>
      <c r="D46" s="2"/>
      <c r="E46" s="19"/>
      <c r="F46" s="44"/>
      <c r="G46" s="37"/>
      <c r="H46" s="37"/>
    </row>
    <row r="47" spans="1:8">
      <c r="A47" s="25">
        <v>43</v>
      </c>
      <c r="B47" s="48"/>
      <c r="C47" s="49"/>
      <c r="D47" s="2"/>
      <c r="E47" s="19"/>
      <c r="F47" s="44"/>
      <c r="G47" s="37"/>
      <c r="H47" s="37"/>
    </row>
    <row r="48" spans="1:8">
      <c r="A48" s="25">
        <v>44</v>
      </c>
      <c r="B48" s="48"/>
      <c r="C48" s="49"/>
      <c r="D48" s="2"/>
      <c r="E48" s="19"/>
      <c r="F48" s="44"/>
      <c r="G48" s="37"/>
      <c r="H48" s="37"/>
    </row>
    <row r="49" spans="1:8">
      <c r="A49" s="25">
        <v>45</v>
      </c>
      <c r="B49" s="48"/>
      <c r="C49" s="49"/>
      <c r="D49" s="2"/>
      <c r="E49" s="19"/>
      <c r="F49" s="44"/>
      <c r="G49" s="37"/>
      <c r="H49" s="37"/>
    </row>
    <row r="50" spans="1:8">
      <c r="A50" s="25">
        <v>46</v>
      </c>
      <c r="B50" s="48"/>
      <c r="C50" s="49"/>
      <c r="D50" s="2"/>
      <c r="E50" s="19"/>
      <c r="F50" s="37"/>
      <c r="G50" s="37"/>
      <c r="H50" s="37"/>
    </row>
    <row r="51" spans="1:8">
      <c r="A51" s="25">
        <v>47</v>
      </c>
      <c r="B51" s="48"/>
      <c r="C51" s="49"/>
      <c r="D51" s="2"/>
      <c r="E51" s="19"/>
      <c r="F51" s="44"/>
      <c r="G51" s="44"/>
      <c r="H51" s="44"/>
    </row>
    <row r="52" spans="1:8">
      <c r="A52" s="25">
        <v>48</v>
      </c>
      <c r="B52" s="48"/>
      <c r="C52" s="49"/>
      <c r="D52" s="2"/>
      <c r="E52" s="19"/>
      <c r="F52" s="44"/>
      <c r="G52" s="37"/>
      <c r="H52" s="37"/>
    </row>
    <row r="53" spans="1:8">
      <c r="A53" s="25">
        <v>49</v>
      </c>
      <c r="B53" s="48"/>
      <c r="C53" s="49"/>
      <c r="D53" s="2"/>
      <c r="E53" s="19"/>
      <c r="F53" s="37"/>
      <c r="G53" s="37"/>
      <c r="H53" s="37"/>
    </row>
    <row r="54" spans="1:8">
      <c r="A54" s="25">
        <v>50</v>
      </c>
      <c r="B54" s="32" t="s">
        <v>77</v>
      </c>
      <c r="C54" s="50"/>
      <c r="D54" s="50"/>
      <c r="E54" s="52">
        <f>SUM(E44:E53)</f>
        <v>0</v>
      </c>
      <c r="F54" s="37"/>
      <c r="G54" s="37"/>
      <c r="H54" s="37"/>
    </row>
  </sheetData>
  <printOptions gridLines="1"/>
  <pageMargins left="0.708661417322835" right="0.708661417322835" top="0.748031496062992" bottom="0.748031496062992" header="0.31496062992126" footer="0.31496062992126"/>
  <pageSetup paperSize="9" scale="84" orientation="portrait" horizontalDpi="300" verticalDpi="300"/>
  <headerFooter>
    <oddHeader>&amp;C&amp;F 
&amp;A</oddHeader>
    <oddFooter>&amp;CPage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"/>
  <sheetViews>
    <sheetView view="pageBreakPreview" zoomScaleNormal="120" topLeftCell="A35" workbookViewId="0">
      <selection activeCell="A5" sqref="A5:A52"/>
    </sheetView>
  </sheetViews>
  <sheetFormatPr defaultColWidth="8.77777777777778" defaultRowHeight="12.75"/>
  <cols>
    <col min="1" max="1" width="5.33333333333333" style="1" customWidth="1"/>
    <col min="2" max="2" width="39.7777777777778" customWidth="1"/>
    <col min="3" max="4" width="12.7777777777778" style="17" customWidth="1"/>
    <col min="5" max="5" width="52.1666666666667" customWidth="1"/>
    <col min="6" max="6" width="17.8333333333333" customWidth="1"/>
    <col min="7" max="7" width="8.77777777777778" hidden="1" customWidth="1"/>
  </cols>
  <sheetData>
    <row r="1" customFormat="1" spans="1:4">
      <c r="A1" s="1" t="s">
        <v>0</v>
      </c>
      <c r="C1" s="17"/>
      <c r="D1" s="17"/>
    </row>
    <row r="2" customFormat="1" spans="1:4">
      <c r="A2" s="1" t="s">
        <v>142</v>
      </c>
      <c r="B2" s="2" t="s">
        <v>15</v>
      </c>
      <c r="C2" s="17" t="s">
        <v>30</v>
      </c>
      <c r="D2" s="19" t="s">
        <v>31</v>
      </c>
    </row>
    <row r="3" customFormat="1" spans="1:8">
      <c r="A3" s="1" t="s">
        <v>32</v>
      </c>
      <c r="B3" s="2"/>
      <c r="C3" s="17" t="s">
        <v>2</v>
      </c>
      <c r="D3" s="55">
        <f>'1. Bank balance statement'!B3</f>
        <v>45996</v>
      </c>
      <c r="G3" s="21"/>
      <c r="H3" s="22"/>
    </row>
    <row r="4" s="16" customFormat="1" spans="1:5">
      <c r="A4" s="23" t="s">
        <v>3</v>
      </c>
      <c r="B4" s="8" t="s">
        <v>33</v>
      </c>
      <c r="C4" s="24" t="s">
        <v>34</v>
      </c>
      <c r="D4" s="24" t="s">
        <v>35</v>
      </c>
      <c r="E4" s="14" t="s">
        <v>36</v>
      </c>
    </row>
    <row r="5" customFormat="1" spans="1:5">
      <c r="A5" s="25">
        <v>1</v>
      </c>
      <c r="B5" t="s">
        <v>37</v>
      </c>
      <c r="D5" s="26"/>
      <c r="E5" s="26"/>
    </row>
    <row r="6" customFormat="1" spans="1:5">
      <c r="A6" s="25">
        <v>2</v>
      </c>
      <c r="B6" t="s">
        <v>38</v>
      </c>
      <c r="D6" s="26"/>
      <c r="E6" s="26"/>
    </row>
    <row r="7" customFormat="1" spans="1:5">
      <c r="A7" s="25">
        <v>3</v>
      </c>
      <c r="B7" t="s">
        <v>39</v>
      </c>
      <c r="D7" s="26"/>
      <c r="E7" s="26"/>
    </row>
    <row r="8" customFormat="1" spans="1:5">
      <c r="A8" s="25">
        <v>4</v>
      </c>
      <c r="B8" t="s">
        <v>40</v>
      </c>
      <c r="D8" s="26"/>
      <c r="E8" s="26"/>
    </row>
    <row r="9" customFormat="1" spans="1:5">
      <c r="A9" s="25">
        <v>5</v>
      </c>
      <c r="B9" t="s">
        <v>41</v>
      </c>
      <c r="D9" s="26"/>
      <c r="E9" s="26"/>
    </row>
    <row r="10" customFormat="1" ht="12" customHeight="1" spans="1:5">
      <c r="A10" s="25">
        <v>6</v>
      </c>
      <c r="B10" t="s">
        <v>42</v>
      </c>
      <c r="D10" s="26">
        <v>6805</v>
      </c>
      <c r="E10" s="26" t="s">
        <v>143</v>
      </c>
    </row>
    <row r="11" customFormat="1" spans="1:5">
      <c r="A11" s="25">
        <v>7</v>
      </c>
      <c r="B11" t="s">
        <v>42</v>
      </c>
      <c r="D11" s="26">
        <v>40230</v>
      </c>
      <c r="E11" s="26" t="s">
        <v>144</v>
      </c>
    </row>
    <row r="12" customFormat="1" spans="1:5">
      <c r="A12" s="25">
        <v>8</v>
      </c>
      <c r="B12" t="s">
        <v>42</v>
      </c>
      <c r="D12" s="26">
        <v>33264</v>
      </c>
      <c r="E12" s="26" t="s">
        <v>145</v>
      </c>
    </row>
    <row r="13" customFormat="1" ht="25.5" spans="1:5">
      <c r="A13" s="25">
        <v>9</v>
      </c>
      <c r="B13" t="s">
        <v>42</v>
      </c>
      <c r="D13" s="53">
        <f>2360+1180</f>
        <v>3540</v>
      </c>
      <c r="E13" s="54" t="s">
        <v>146</v>
      </c>
    </row>
    <row r="14" customFormat="1" spans="1:5">
      <c r="A14" s="25">
        <v>10</v>
      </c>
      <c r="B14" t="s">
        <v>42</v>
      </c>
      <c r="D14" s="26"/>
      <c r="E14" s="26"/>
    </row>
    <row r="15" customFormat="1" spans="1:5">
      <c r="A15" s="25">
        <v>11</v>
      </c>
      <c r="B15" s="32" t="s">
        <v>44</v>
      </c>
      <c r="C15" s="32"/>
      <c r="D15" s="33">
        <f>SUM(D5:D14)</f>
        <v>83839</v>
      </c>
      <c r="E15" s="33"/>
    </row>
    <row r="16" ht="51" spans="1:6">
      <c r="A16" s="25">
        <v>12</v>
      </c>
      <c r="B16" s="7" t="s">
        <v>45</v>
      </c>
      <c r="C16" s="34" t="s">
        <v>46</v>
      </c>
      <c r="D16" s="34" t="s">
        <v>47</v>
      </c>
      <c r="E16" s="34" t="s">
        <v>48</v>
      </c>
      <c r="F16" s="16"/>
    </row>
    <row r="17" customFormat="1" spans="1:5">
      <c r="A17" s="25">
        <v>13</v>
      </c>
      <c r="B17" t="s">
        <v>49</v>
      </c>
      <c r="C17" s="19"/>
      <c r="D17" s="19">
        <v>0</v>
      </c>
      <c r="E17" s="2"/>
    </row>
    <row r="18" customFormat="1" spans="1:5">
      <c r="A18" s="25">
        <v>14</v>
      </c>
      <c r="B18" t="s">
        <v>50</v>
      </c>
      <c r="C18" s="17"/>
      <c r="D18" s="19">
        <v>741</v>
      </c>
      <c r="E18" s="2"/>
    </row>
    <row r="19" customFormat="1" spans="1:6">
      <c r="A19" s="25">
        <v>15</v>
      </c>
      <c r="B19" t="s">
        <v>51</v>
      </c>
      <c r="C19" s="17"/>
      <c r="D19" s="19">
        <f>D18-D17-D15</f>
        <v>-83098</v>
      </c>
      <c r="E19" s="35"/>
      <c r="F19" s="35"/>
    </row>
    <row r="20" customFormat="1" spans="1:5">
      <c r="A20" s="25">
        <v>16</v>
      </c>
      <c r="B20" t="s">
        <v>52</v>
      </c>
      <c r="C20" s="17"/>
      <c r="D20" s="19"/>
      <c r="E20" s="35"/>
    </row>
    <row r="21" customFormat="1" spans="1:5">
      <c r="A21" s="25">
        <v>17</v>
      </c>
      <c r="B21" t="s">
        <v>53</v>
      </c>
      <c r="C21" s="17"/>
      <c r="D21" s="17">
        <f>SUM(D19:D20)</f>
        <v>-83098</v>
      </c>
      <c r="E21" s="35"/>
    </row>
    <row r="22" customFormat="1" spans="1:5">
      <c r="A22" s="25">
        <v>18</v>
      </c>
      <c r="B22" s="32" t="s">
        <v>54</v>
      </c>
      <c r="C22" s="36"/>
      <c r="D22" s="36"/>
      <c r="E22" s="36"/>
    </row>
    <row r="23" customFormat="1" spans="1:5">
      <c r="A23" s="25">
        <v>19</v>
      </c>
      <c r="B23" t="s">
        <v>55</v>
      </c>
      <c r="C23" s="17"/>
      <c r="D23" s="17"/>
      <c r="E23" s="35"/>
    </row>
    <row r="24" customFormat="1" spans="1:4">
      <c r="A24" s="25">
        <v>20</v>
      </c>
      <c r="B24" t="s">
        <v>56</v>
      </c>
      <c r="C24" s="17"/>
      <c r="D24" s="17"/>
    </row>
    <row r="25" customFormat="1" spans="1:5">
      <c r="A25" s="25">
        <v>21</v>
      </c>
      <c r="B25" t="s">
        <v>57</v>
      </c>
      <c r="C25" s="17"/>
      <c r="D25" s="17"/>
      <c r="E25" s="35"/>
    </row>
    <row r="26" customFormat="1" spans="1:5">
      <c r="A26" s="25">
        <v>22</v>
      </c>
      <c r="B26" t="s">
        <v>57</v>
      </c>
      <c r="C26" s="17"/>
      <c r="D26" s="17"/>
      <c r="E26" s="35"/>
    </row>
    <row r="27" customFormat="1" spans="1:5">
      <c r="A27" s="25">
        <v>23</v>
      </c>
      <c r="B27" t="s">
        <v>57</v>
      </c>
      <c r="C27" s="17"/>
      <c r="D27" s="17"/>
      <c r="E27" s="35"/>
    </row>
    <row r="28" customFormat="1" spans="1:5">
      <c r="A28" s="25">
        <v>24</v>
      </c>
      <c r="B28" t="s">
        <v>57</v>
      </c>
      <c r="C28" s="17"/>
      <c r="D28" s="17"/>
      <c r="E28" s="35"/>
    </row>
    <row r="29" customFormat="1" spans="1:4">
      <c r="A29" s="25">
        <v>25</v>
      </c>
      <c r="B29" t="s">
        <v>58</v>
      </c>
      <c r="C29" s="17"/>
      <c r="D29" s="17"/>
    </row>
    <row r="30" customFormat="1" spans="1:4">
      <c r="A30" s="25">
        <v>26</v>
      </c>
      <c r="B30" t="s">
        <v>59</v>
      </c>
      <c r="C30" s="17"/>
      <c r="D30" s="17"/>
    </row>
    <row r="31" customFormat="1" spans="1:4">
      <c r="A31" s="25">
        <v>27</v>
      </c>
      <c r="B31" t="s">
        <v>60</v>
      </c>
      <c r="C31" s="17"/>
      <c r="D31" s="17">
        <f>SUM(D23:D28)-D29-D30</f>
        <v>0</v>
      </c>
    </row>
    <row r="32" customFormat="1" spans="1:5">
      <c r="A32" s="25">
        <v>28</v>
      </c>
      <c r="B32" s="32" t="s">
        <v>61</v>
      </c>
      <c r="C32" s="36"/>
      <c r="D32" s="36"/>
      <c r="E32" s="36"/>
    </row>
    <row r="33" customFormat="1" spans="1:4">
      <c r="A33" s="25">
        <v>29</v>
      </c>
      <c r="B33" t="s">
        <v>62</v>
      </c>
      <c r="C33" s="37"/>
      <c r="D33" s="38">
        <v>0</v>
      </c>
    </row>
    <row r="34" customFormat="1" spans="1:5">
      <c r="A34" s="25">
        <v>30</v>
      </c>
      <c r="B34" t="s">
        <v>63</v>
      </c>
      <c r="C34" s="19"/>
      <c r="D34" s="17">
        <v>1500000</v>
      </c>
      <c r="E34" s="35" t="s">
        <v>147</v>
      </c>
    </row>
    <row r="35" customFormat="1" spans="1:5">
      <c r="A35" s="25">
        <v>31</v>
      </c>
      <c r="B35" s="8" t="s">
        <v>45</v>
      </c>
      <c r="C35" s="32"/>
      <c r="D35" s="39" t="s">
        <v>35</v>
      </c>
      <c r="E35" s="8" t="s">
        <v>48</v>
      </c>
    </row>
    <row r="36" customFormat="1" spans="1:4">
      <c r="A36" s="25">
        <v>32</v>
      </c>
      <c r="B36" t="s">
        <v>64</v>
      </c>
      <c r="D36" s="26"/>
    </row>
    <row r="37" customFormat="1" spans="1:4">
      <c r="A37" s="25">
        <v>33</v>
      </c>
      <c r="B37" t="s">
        <v>65</v>
      </c>
      <c r="D37" s="26"/>
    </row>
    <row r="38" customFormat="1" spans="1:4">
      <c r="A38" s="25">
        <v>34</v>
      </c>
      <c r="B38" t="s">
        <v>66</v>
      </c>
      <c r="D38" s="26"/>
    </row>
    <row r="39" customFormat="1" spans="1:5">
      <c r="A39" s="25">
        <v>35</v>
      </c>
      <c r="B39" s="32" t="s">
        <v>67</v>
      </c>
      <c r="C39" s="32"/>
      <c r="D39" s="33">
        <f>SUM(D36:D38)</f>
        <v>0</v>
      </c>
      <c r="E39" s="32"/>
    </row>
    <row r="40" customFormat="1" spans="1:4">
      <c r="A40" s="25">
        <v>36</v>
      </c>
      <c r="B40" t="s">
        <v>68</v>
      </c>
      <c r="D40" s="26"/>
    </row>
    <row r="41" customFormat="1" spans="1:4">
      <c r="A41" s="25">
        <v>37</v>
      </c>
      <c r="B41" t="s">
        <v>69</v>
      </c>
      <c r="D41" s="26"/>
    </row>
    <row r="42" customFormat="1" spans="1:5">
      <c r="A42" s="25">
        <v>38</v>
      </c>
      <c r="B42" s="32" t="s">
        <v>70</v>
      </c>
      <c r="C42" s="32"/>
      <c r="D42" s="33">
        <f>SUM(D40:D41)</f>
        <v>0</v>
      </c>
      <c r="E42" s="32"/>
    </row>
    <row r="43" customFormat="1" spans="1:5">
      <c r="A43" s="25">
        <v>39</v>
      </c>
      <c r="B43" s="32" t="s">
        <v>71</v>
      </c>
      <c r="C43" s="32"/>
      <c r="D43" s="33">
        <f>D39-D42</f>
        <v>0</v>
      </c>
      <c r="E43" s="32"/>
    </row>
    <row r="44" spans="1:9">
      <c r="A44" s="25">
        <v>40</v>
      </c>
      <c r="B44" t="s">
        <v>72</v>
      </c>
      <c r="C44"/>
      <c r="D44"/>
      <c r="E44" s="17"/>
      <c r="F44" s="38"/>
      <c r="G44" s="38"/>
      <c r="H44" s="38"/>
      <c r="I44" s="38"/>
    </row>
    <row r="45" customFormat="1" spans="1:9">
      <c r="A45" s="25">
        <v>41</v>
      </c>
      <c r="B45" s="7" t="s">
        <v>73</v>
      </c>
      <c r="C45" s="34" t="s">
        <v>74</v>
      </c>
      <c r="D45" s="34" t="s">
        <v>75</v>
      </c>
      <c r="E45" s="32" t="s">
        <v>76</v>
      </c>
      <c r="G45" s="40"/>
      <c r="H45" s="40"/>
      <c r="I45" s="40"/>
    </row>
    <row r="46" spans="1:9">
      <c r="A46" s="25">
        <v>42</v>
      </c>
      <c r="B46" s="48"/>
      <c r="C46" s="49"/>
      <c r="D46" s="2"/>
      <c r="E46" s="19"/>
      <c r="F46" s="37"/>
      <c r="G46" s="44"/>
      <c r="H46" s="37"/>
      <c r="I46" s="37"/>
    </row>
    <row r="47" spans="1:9">
      <c r="A47" s="25">
        <v>43</v>
      </c>
      <c r="B47" s="48"/>
      <c r="C47" s="49"/>
      <c r="D47" s="2"/>
      <c r="E47" s="19"/>
      <c r="F47" s="37"/>
      <c r="G47" s="44"/>
      <c r="H47" s="37"/>
      <c r="I47" s="37"/>
    </row>
    <row r="48" spans="1:9">
      <c r="A48" s="25">
        <v>44</v>
      </c>
      <c r="B48" s="48"/>
      <c r="C48" s="49"/>
      <c r="D48" s="2"/>
      <c r="E48" s="19"/>
      <c r="F48" s="37"/>
      <c r="G48" s="44"/>
      <c r="H48" s="37"/>
      <c r="I48" s="37"/>
    </row>
    <row r="49" spans="1:9">
      <c r="A49" s="25">
        <v>45</v>
      </c>
      <c r="B49" s="48"/>
      <c r="C49" s="49"/>
      <c r="D49" s="2"/>
      <c r="E49" s="19"/>
      <c r="F49" s="37"/>
      <c r="G49" s="44"/>
      <c r="H49" s="37"/>
      <c r="I49" s="37"/>
    </row>
    <row r="50" spans="1:9">
      <c r="A50" s="25">
        <v>46</v>
      </c>
      <c r="B50" s="48"/>
      <c r="C50" s="49"/>
      <c r="D50" s="2"/>
      <c r="E50" s="19"/>
      <c r="F50" s="37"/>
      <c r="G50" s="44"/>
      <c r="H50" s="37"/>
      <c r="I50" s="37"/>
    </row>
    <row r="51" spans="1:9">
      <c r="A51" s="25">
        <v>47</v>
      </c>
      <c r="B51" s="48"/>
      <c r="C51" s="49"/>
      <c r="D51" s="2"/>
      <c r="E51" s="19"/>
      <c r="F51" s="37"/>
      <c r="G51" s="37"/>
      <c r="H51" s="37"/>
      <c r="I51" s="37"/>
    </row>
    <row r="52" spans="1:9">
      <c r="A52" s="25">
        <v>48</v>
      </c>
      <c r="B52" s="32" t="s">
        <v>77</v>
      </c>
      <c r="C52" s="50"/>
      <c r="D52" s="50"/>
      <c r="E52" s="52">
        <f>SUM(E46:E51)</f>
        <v>0</v>
      </c>
      <c r="F52" s="37"/>
      <c r="G52" s="37"/>
      <c r="H52" s="37"/>
      <c r="I52" s="37"/>
    </row>
  </sheetData>
  <printOptions gridLines="1"/>
  <pageMargins left="0.75" right="0.75" top="1" bottom="1" header="0.5" footer="0.5"/>
  <pageSetup paperSize="9" scale="76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view="pageBreakPreview" zoomScaleNormal="100" topLeftCell="A33" workbookViewId="0">
      <selection activeCell="A5" sqref="A5:A54"/>
    </sheetView>
  </sheetViews>
  <sheetFormatPr defaultColWidth="8.77777777777778" defaultRowHeight="12.75" outlineLevelCol="7"/>
  <cols>
    <col min="1" max="1" width="5.33333333333333" style="1" customWidth="1"/>
    <col min="2" max="2" width="39.7777777777778" customWidth="1"/>
    <col min="3" max="3" width="13.4444444444444" style="17" customWidth="1"/>
    <col min="4" max="4" width="12.7777777777778" style="17" customWidth="1"/>
    <col min="5" max="5" width="41.8888888888889" customWidth="1"/>
  </cols>
  <sheetData>
    <row r="1" spans="1:1">
      <c r="A1" s="1" t="s">
        <v>0</v>
      </c>
    </row>
    <row r="2" spans="1:4">
      <c r="A2" s="18" t="s">
        <v>148</v>
      </c>
      <c r="B2" s="2"/>
      <c r="C2" s="17" t="s">
        <v>30</v>
      </c>
      <c r="D2" s="19" t="s">
        <v>31</v>
      </c>
    </row>
    <row r="3" spans="1:7">
      <c r="A3" s="1" t="s">
        <v>138</v>
      </c>
      <c r="B3" s="2"/>
      <c r="C3" s="17" t="s">
        <v>2</v>
      </c>
      <c r="D3" s="55">
        <f>'1. Bank balance statement'!B3</f>
        <v>45996</v>
      </c>
      <c r="F3" s="21"/>
      <c r="G3" s="22"/>
    </row>
    <row r="4" s="16" customFormat="1" spans="1:5">
      <c r="A4" s="23" t="s">
        <v>3</v>
      </c>
      <c r="B4" s="8" t="s">
        <v>33</v>
      </c>
      <c r="C4" s="24" t="s">
        <v>34</v>
      </c>
      <c r="D4" s="24" t="s">
        <v>35</v>
      </c>
      <c r="E4" s="14" t="s">
        <v>36</v>
      </c>
    </row>
    <row r="5" spans="1:5">
      <c r="A5" s="25">
        <v>1</v>
      </c>
      <c r="B5" t="s">
        <v>37</v>
      </c>
      <c r="C5"/>
      <c r="D5" s="26"/>
      <c r="E5" s="26"/>
    </row>
    <row r="6" spans="1:5">
      <c r="A6" s="25">
        <v>2</v>
      </c>
      <c r="B6" t="s">
        <v>38</v>
      </c>
      <c r="C6"/>
      <c r="D6" s="26"/>
      <c r="E6" s="26"/>
    </row>
    <row r="7" spans="1:5">
      <c r="A7" s="25">
        <v>3</v>
      </c>
      <c r="B7" t="s">
        <v>39</v>
      </c>
      <c r="C7"/>
      <c r="D7" s="26"/>
      <c r="E7" s="26"/>
    </row>
    <row r="8" spans="1:5">
      <c r="A8" s="25">
        <v>4</v>
      </c>
      <c r="B8" t="s">
        <v>40</v>
      </c>
      <c r="C8"/>
      <c r="D8" s="26"/>
      <c r="E8" s="26"/>
    </row>
    <row r="9" spans="1:5">
      <c r="A9" s="25">
        <v>5</v>
      </c>
      <c r="B9" t="s">
        <v>41</v>
      </c>
      <c r="C9"/>
      <c r="D9" s="26"/>
      <c r="E9" s="26"/>
    </row>
    <row r="10" ht="12" customHeight="1" spans="1:5">
      <c r="A10" s="25">
        <v>6</v>
      </c>
      <c r="B10" t="s">
        <v>42</v>
      </c>
      <c r="C10"/>
      <c r="D10" s="26"/>
      <c r="E10" s="26"/>
    </row>
    <row r="11" spans="1:5">
      <c r="A11" s="25">
        <v>7</v>
      </c>
      <c r="B11" t="s">
        <v>42</v>
      </c>
      <c r="C11"/>
      <c r="D11" s="26">
        <v>4455</v>
      </c>
      <c r="E11" s="26" t="s">
        <v>129</v>
      </c>
    </row>
    <row r="12" ht="31.95" customHeight="1" spans="1:5">
      <c r="A12" s="25">
        <v>8</v>
      </c>
      <c r="B12" t="s">
        <v>42</v>
      </c>
      <c r="C12"/>
      <c r="D12" s="53">
        <f>1770</f>
        <v>1770</v>
      </c>
      <c r="E12" s="54" t="s">
        <v>141</v>
      </c>
    </row>
    <row r="13" spans="1:5">
      <c r="A13" s="25">
        <v>9</v>
      </c>
      <c r="B13" s="32" t="s">
        <v>44</v>
      </c>
      <c r="C13" s="32"/>
      <c r="D13" s="33">
        <f>SUM(D5:D12)</f>
        <v>6225</v>
      </c>
      <c r="E13" s="33"/>
    </row>
    <row r="14" ht="51" spans="1:5">
      <c r="A14" s="25">
        <v>10</v>
      </c>
      <c r="B14" s="7" t="s">
        <v>45</v>
      </c>
      <c r="C14" s="34" t="s">
        <v>46</v>
      </c>
      <c r="D14" s="34" t="s">
        <v>47</v>
      </c>
      <c r="E14" s="34" t="s">
        <v>48</v>
      </c>
    </row>
    <row r="15" spans="1:5">
      <c r="A15" s="25">
        <v>11</v>
      </c>
      <c r="B15" t="s">
        <v>49</v>
      </c>
      <c r="C15" s="19"/>
      <c r="D15" s="19">
        <v>0</v>
      </c>
      <c r="E15" s="2"/>
    </row>
    <row r="16" spans="1:5">
      <c r="A16" s="25">
        <v>12</v>
      </c>
      <c r="B16" t="s">
        <v>50</v>
      </c>
      <c r="D16" s="19">
        <v>934</v>
      </c>
      <c r="E16" s="2"/>
    </row>
    <row r="17" spans="1:5">
      <c r="A17" s="25">
        <v>13</v>
      </c>
      <c r="B17" t="s">
        <v>51</v>
      </c>
      <c r="D17" s="19">
        <f>D16-D15-D13</f>
        <v>-5291</v>
      </c>
      <c r="E17" s="35"/>
    </row>
    <row r="18" spans="1:5">
      <c r="A18" s="25">
        <v>14</v>
      </c>
      <c r="B18" t="s">
        <v>52</v>
      </c>
      <c r="D18" s="19">
        <v>0</v>
      </c>
      <c r="E18" s="35"/>
    </row>
    <row r="19" spans="1:5">
      <c r="A19" s="25">
        <v>15</v>
      </c>
      <c r="B19" t="s">
        <v>53</v>
      </c>
      <c r="D19" s="17">
        <f>SUM(D17:D18)</f>
        <v>-5291</v>
      </c>
      <c r="E19" s="35"/>
    </row>
    <row r="20" spans="1:5">
      <c r="A20" s="25">
        <v>16</v>
      </c>
      <c r="B20" s="32" t="s">
        <v>54</v>
      </c>
      <c r="C20" s="36"/>
      <c r="D20" s="36"/>
      <c r="E20" s="36"/>
    </row>
    <row r="21" spans="1:5">
      <c r="A21" s="25">
        <v>17</v>
      </c>
      <c r="B21" t="s">
        <v>55</v>
      </c>
      <c r="E21" s="35"/>
    </row>
    <row r="22" spans="1:2">
      <c r="A22" s="25">
        <v>18</v>
      </c>
      <c r="B22" t="s">
        <v>56</v>
      </c>
    </row>
    <row r="23" spans="1:5">
      <c r="A23" s="25">
        <v>19</v>
      </c>
      <c r="B23" t="s">
        <v>57</v>
      </c>
      <c r="E23" s="35"/>
    </row>
    <row r="24" spans="1:5">
      <c r="A24" s="25">
        <v>20</v>
      </c>
      <c r="B24" t="s">
        <v>57</v>
      </c>
      <c r="E24" s="35"/>
    </row>
    <row r="25" spans="1:5">
      <c r="A25" s="25">
        <v>21</v>
      </c>
      <c r="B25" t="s">
        <v>57</v>
      </c>
      <c r="E25" s="35"/>
    </row>
    <row r="26" spans="1:5">
      <c r="A26" s="25">
        <v>22</v>
      </c>
      <c r="B26" t="s">
        <v>57</v>
      </c>
      <c r="E26" s="35"/>
    </row>
    <row r="27" spans="1:2">
      <c r="A27" s="25">
        <v>23</v>
      </c>
      <c r="B27" t="s">
        <v>58</v>
      </c>
    </row>
    <row r="28" spans="1:2">
      <c r="A28" s="25">
        <v>24</v>
      </c>
      <c r="B28" t="s">
        <v>59</v>
      </c>
    </row>
    <row r="29" spans="1:4">
      <c r="A29" s="25">
        <v>25</v>
      </c>
      <c r="B29" t="s">
        <v>60</v>
      </c>
      <c r="D29" s="17">
        <f>SUM(D21:D26)-D27-D28</f>
        <v>0</v>
      </c>
    </row>
    <row r="30" spans="1:5">
      <c r="A30" s="25">
        <v>26</v>
      </c>
      <c r="B30" s="32" t="s">
        <v>61</v>
      </c>
      <c r="C30" s="36"/>
      <c r="D30" s="36"/>
      <c r="E30" s="36"/>
    </row>
    <row r="31" spans="1:4">
      <c r="A31" s="25">
        <v>27</v>
      </c>
      <c r="B31" t="s">
        <v>62</v>
      </c>
      <c r="C31" s="37"/>
      <c r="D31" s="38">
        <v>0</v>
      </c>
    </row>
    <row r="32" spans="1:5">
      <c r="A32" s="25">
        <v>28</v>
      </c>
      <c r="B32" t="s">
        <v>63</v>
      </c>
      <c r="C32" s="19"/>
      <c r="D32" s="17">
        <v>0</v>
      </c>
      <c r="E32" s="35"/>
    </row>
    <row r="33" spans="1:5">
      <c r="A33" s="25">
        <v>29</v>
      </c>
      <c r="B33" s="8" t="s">
        <v>45</v>
      </c>
      <c r="C33" s="32"/>
      <c r="D33" s="39" t="s">
        <v>35</v>
      </c>
      <c r="E33" s="8" t="s">
        <v>48</v>
      </c>
    </row>
    <row r="34" spans="1:4">
      <c r="A34" s="25">
        <v>30</v>
      </c>
      <c r="B34" t="s">
        <v>64</v>
      </c>
      <c r="C34"/>
      <c r="D34" s="26"/>
    </row>
    <row r="35" spans="1:4">
      <c r="A35" s="25">
        <v>31</v>
      </c>
      <c r="B35" t="s">
        <v>65</v>
      </c>
      <c r="C35"/>
      <c r="D35" s="26"/>
    </row>
    <row r="36" spans="1:4">
      <c r="A36" s="25">
        <v>32</v>
      </c>
      <c r="B36" t="s">
        <v>66</v>
      </c>
      <c r="C36"/>
      <c r="D36" s="26"/>
    </row>
    <row r="37" spans="1:5">
      <c r="A37" s="25">
        <v>33</v>
      </c>
      <c r="B37" s="32" t="s">
        <v>67</v>
      </c>
      <c r="C37" s="32"/>
      <c r="D37" s="33">
        <f>SUM(D34:D36)</f>
        <v>0</v>
      </c>
      <c r="E37" s="32"/>
    </row>
    <row r="38" spans="1:4">
      <c r="A38" s="25">
        <v>34</v>
      </c>
      <c r="B38" t="s">
        <v>68</v>
      </c>
      <c r="C38"/>
      <c r="D38" s="26"/>
    </row>
    <row r="39" spans="1:4">
      <c r="A39" s="25">
        <v>35</v>
      </c>
      <c r="B39" t="s">
        <v>69</v>
      </c>
      <c r="C39"/>
      <c r="D39" s="26"/>
    </row>
    <row r="40" spans="1:5">
      <c r="A40" s="25">
        <v>36</v>
      </c>
      <c r="B40" s="32" t="s">
        <v>70</v>
      </c>
      <c r="C40" s="32"/>
      <c r="D40" s="33">
        <f>SUM(D38:D39)</f>
        <v>0</v>
      </c>
      <c r="E40" s="32"/>
    </row>
    <row r="41" spans="1:5">
      <c r="A41" s="25">
        <v>37</v>
      </c>
      <c r="B41" s="32" t="s">
        <v>71</v>
      </c>
      <c r="C41" s="32"/>
      <c r="D41" s="33">
        <f>D37-D40</f>
        <v>0</v>
      </c>
      <c r="E41" s="32"/>
    </row>
    <row r="42" spans="1:8">
      <c r="A42" s="25">
        <v>38</v>
      </c>
      <c r="B42" t="s">
        <v>72</v>
      </c>
      <c r="C42"/>
      <c r="D42"/>
      <c r="E42" s="17"/>
      <c r="F42" s="38"/>
      <c r="G42" s="38"/>
      <c r="H42" s="38"/>
    </row>
    <row r="43" spans="1:8">
      <c r="A43" s="25">
        <v>39</v>
      </c>
      <c r="B43" s="7" t="s">
        <v>73</v>
      </c>
      <c r="C43" s="34" t="s">
        <v>74</v>
      </c>
      <c r="D43" s="34" t="s">
        <v>75</v>
      </c>
      <c r="E43" s="32" t="s">
        <v>76</v>
      </c>
      <c r="F43" s="40"/>
      <c r="G43" s="40"/>
      <c r="H43" s="40"/>
    </row>
    <row r="44" spans="1:8">
      <c r="A44" s="25">
        <v>40</v>
      </c>
      <c r="B44" s="48"/>
      <c r="C44" s="49"/>
      <c r="D44" s="2"/>
      <c r="E44" s="19"/>
      <c r="F44" s="44"/>
      <c r="G44" s="37"/>
      <c r="H44" s="37"/>
    </row>
    <row r="45" spans="1:8">
      <c r="A45" s="25">
        <v>41</v>
      </c>
      <c r="B45" s="48"/>
      <c r="C45" s="49"/>
      <c r="D45" s="2"/>
      <c r="E45" s="19"/>
      <c r="F45" s="44"/>
      <c r="G45" s="37"/>
      <c r="H45" s="37"/>
    </row>
    <row r="46" spans="1:8">
      <c r="A46" s="25">
        <v>42</v>
      </c>
      <c r="B46" s="48"/>
      <c r="C46" s="49"/>
      <c r="D46" s="2"/>
      <c r="E46" s="19"/>
      <c r="F46" s="44"/>
      <c r="G46" s="37"/>
      <c r="H46" s="37"/>
    </row>
    <row r="47" spans="1:8">
      <c r="A47" s="25">
        <v>43</v>
      </c>
      <c r="B47" s="48"/>
      <c r="C47" s="49"/>
      <c r="D47" s="2"/>
      <c r="E47" s="19"/>
      <c r="F47" s="44"/>
      <c r="G47" s="37"/>
      <c r="H47" s="37"/>
    </row>
    <row r="48" spans="1:8">
      <c r="A48" s="25">
        <v>44</v>
      </c>
      <c r="B48" s="48"/>
      <c r="C48" s="49"/>
      <c r="D48" s="2"/>
      <c r="E48" s="19"/>
      <c r="F48" s="44"/>
      <c r="G48" s="37"/>
      <c r="H48" s="37"/>
    </row>
    <row r="49" spans="1:8">
      <c r="A49" s="25">
        <v>45</v>
      </c>
      <c r="B49" s="48"/>
      <c r="C49" s="49"/>
      <c r="D49" s="2"/>
      <c r="E49" s="19"/>
      <c r="F49" s="44"/>
      <c r="G49" s="37"/>
      <c r="H49" s="37"/>
    </row>
    <row r="50" spans="1:8">
      <c r="A50" s="25">
        <v>46</v>
      </c>
      <c r="B50" s="48"/>
      <c r="C50" s="49"/>
      <c r="D50" s="2"/>
      <c r="E50" s="19"/>
      <c r="F50" s="37"/>
      <c r="G50" s="37"/>
      <c r="H50" s="37"/>
    </row>
    <row r="51" spans="1:8">
      <c r="A51" s="25">
        <v>47</v>
      </c>
      <c r="B51" s="48"/>
      <c r="C51" s="49"/>
      <c r="D51" s="2"/>
      <c r="E51" s="19"/>
      <c r="F51" s="44"/>
      <c r="G51" s="44"/>
      <c r="H51" s="44"/>
    </row>
    <row r="52" spans="1:8">
      <c r="A52" s="25">
        <v>48</v>
      </c>
      <c r="B52" s="48"/>
      <c r="C52" s="49"/>
      <c r="D52" s="2"/>
      <c r="E52" s="19"/>
      <c r="F52" s="44"/>
      <c r="G52" s="37"/>
      <c r="H52" s="37"/>
    </row>
    <row r="53" spans="1:8">
      <c r="A53" s="25">
        <v>49</v>
      </c>
      <c r="B53" s="48"/>
      <c r="C53" s="49"/>
      <c r="D53" s="2"/>
      <c r="E53" s="19"/>
      <c r="F53" s="37"/>
      <c r="G53" s="37"/>
      <c r="H53" s="37"/>
    </row>
    <row r="54" spans="1:8">
      <c r="A54" s="25">
        <v>50</v>
      </c>
      <c r="B54" s="32" t="s">
        <v>77</v>
      </c>
      <c r="C54" s="50"/>
      <c r="D54" s="50"/>
      <c r="E54" s="52">
        <f>SUM(E44:E53)</f>
        <v>0</v>
      </c>
      <c r="F54" s="37"/>
      <c r="G54" s="37"/>
      <c r="H54" s="37"/>
    </row>
  </sheetData>
  <printOptions gridLines="1"/>
  <pageMargins left="0.708661417322835" right="0.708661417322835" top="0.748031496062992" bottom="0.748031496062992" header="0.31496062992126" footer="0.31496062992126"/>
  <pageSetup paperSize="9" scale="86" orientation="portrait" horizontalDpi="300" verticalDpi="300"/>
  <headerFooter>
    <oddHeader>&amp;C&amp;F 
&amp;A</oddHeader>
    <oddFooter>&amp;CPage &amp;P of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topLeftCell="A33" workbookViewId="0">
      <selection activeCell="B46" sqref="B46"/>
    </sheetView>
  </sheetViews>
  <sheetFormatPr defaultColWidth="8.77777777777778" defaultRowHeight="12.75" outlineLevelCol="7"/>
  <cols>
    <col min="1" max="1" width="5.33333333333333" style="1" customWidth="1"/>
    <col min="2" max="2" width="39.7777777777778" customWidth="1"/>
    <col min="3" max="3" width="13.4444444444444" style="17" customWidth="1"/>
    <col min="4" max="4" width="12.7777777777778" style="17" customWidth="1"/>
    <col min="5" max="5" width="41.8888888888889" customWidth="1"/>
  </cols>
  <sheetData>
    <row r="1" customFormat="1" spans="1:4">
      <c r="A1" s="1" t="s">
        <v>0</v>
      </c>
      <c r="C1" s="17"/>
      <c r="D1" s="17"/>
    </row>
    <row r="2" customFormat="1" spans="1:4">
      <c r="A2" s="18" t="s">
        <v>149</v>
      </c>
      <c r="B2" s="2"/>
      <c r="C2" s="17" t="s">
        <v>30</v>
      </c>
      <c r="D2" s="19" t="s">
        <v>31</v>
      </c>
    </row>
    <row r="3" customFormat="1" spans="1:7">
      <c r="A3" s="1" t="s">
        <v>138</v>
      </c>
      <c r="B3" s="2"/>
      <c r="C3" s="17" t="s">
        <v>2</v>
      </c>
      <c r="D3" s="20">
        <f>'1. Bank balance statement'!B3</f>
        <v>45996</v>
      </c>
      <c r="F3" s="21"/>
      <c r="G3" s="22"/>
    </row>
    <row r="4" s="16" customFormat="1" spans="1:5">
      <c r="A4" s="23" t="s">
        <v>3</v>
      </c>
      <c r="B4" s="8" t="s">
        <v>33</v>
      </c>
      <c r="C4" s="24" t="s">
        <v>34</v>
      </c>
      <c r="D4" s="24" t="s">
        <v>35</v>
      </c>
      <c r="E4" s="14" t="s">
        <v>36</v>
      </c>
    </row>
    <row r="5" spans="1:5">
      <c r="A5" s="25">
        <v>1</v>
      </c>
      <c r="B5" t="s">
        <v>37</v>
      </c>
      <c r="C5"/>
      <c r="D5" s="26"/>
      <c r="E5" s="26"/>
    </row>
    <row r="6" spans="1:5">
      <c r="A6" s="25">
        <v>2</v>
      </c>
      <c r="B6" t="s">
        <v>38</v>
      </c>
      <c r="C6"/>
      <c r="D6" s="26"/>
      <c r="E6" s="26"/>
    </row>
    <row r="7" spans="1:5">
      <c r="A7" s="25">
        <v>3</v>
      </c>
      <c r="B7" t="s">
        <v>39</v>
      </c>
      <c r="C7"/>
      <c r="D7" s="26"/>
      <c r="E7" s="26"/>
    </row>
    <row r="8" spans="1:5">
      <c r="A8" s="25">
        <v>4</v>
      </c>
      <c r="B8" t="s">
        <v>40</v>
      </c>
      <c r="C8"/>
      <c r="D8" s="26"/>
      <c r="E8" s="26"/>
    </row>
    <row r="9" spans="1:5">
      <c r="A9" s="25">
        <v>5</v>
      </c>
      <c r="B9" t="s">
        <v>41</v>
      </c>
      <c r="C9"/>
      <c r="D9" s="26"/>
      <c r="E9" s="26"/>
    </row>
    <row r="10" ht="12" customHeight="1" spans="1:5">
      <c r="A10" s="25">
        <v>6</v>
      </c>
      <c r="B10" t="s">
        <v>42</v>
      </c>
      <c r="C10"/>
      <c r="D10" s="26"/>
      <c r="E10" s="26"/>
    </row>
    <row r="11" spans="1:5">
      <c r="A11" s="25">
        <v>7</v>
      </c>
      <c r="B11" t="s">
        <v>42</v>
      </c>
      <c r="C11"/>
      <c r="D11" s="26"/>
      <c r="E11" s="26"/>
    </row>
    <row r="12" ht="31.95" customHeight="1" spans="1:5">
      <c r="A12" s="25">
        <v>8</v>
      </c>
      <c r="B12" t="s">
        <v>42</v>
      </c>
      <c r="C12"/>
      <c r="D12" s="53">
        <f>1180+1180</f>
        <v>2360</v>
      </c>
      <c r="E12" s="54" t="s">
        <v>150</v>
      </c>
    </row>
    <row r="13" spans="1:5">
      <c r="A13" s="25">
        <v>9</v>
      </c>
      <c r="B13" s="32" t="s">
        <v>44</v>
      </c>
      <c r="C13" s="32"/>
      <c r="D13" s="33">
        <f>SUM(D5:D12)</f>
        <v>2360</v>
      </c>
      <c r="E13" s="33"/>
    </row>
    <row r="14" ht="51" spans="1:5">
      <c r="A14" s="25">
        <v>10</v>
      </c>
      <c r="B14" s="7" t="s">
        <v>45</v>
      </c>
      <c r="C14" s="34" t="s">
        <v>46</v>
      </c>
      <c r="D14" s="34" t="s">
        <v>47</v>
      </c>
      <c r="E14" s="34" t="s">
        <v>48</v>
      </c>
    </row>
    <row r="15" spans="1:5">
      <c r="A15" s="25">
        <v>11</v>
      </c>
      <c r="B15" t="s">
        <v>49</v>
      </c>
      <c r="C15" s="19"/>
      <c r="D15" s="19">
        <v>0</v>
      </c>
      <c r="E15" s="2"/>
    </row>
    <row r="16" customFormat="1" spans="1:5">
      <c r="A16" s="25">
        <v>12</v>
      </c>
      <c r="B16" t="s">
        <v>50</v>
      </c>
      <c r="C16" s="17"/>
      <c r="D16" s="19">
        <v>6083</v>
      </c>
      <c r="E16" s="2"/>
    </row>
    <row r="17" customFormat="1" spans="1:5">
      <c r="A17" s="25">
        <v>13</v>
      </c>
      <c r="B17" t="s">
        <v>51</v>
      </c>
      <c r="C17" s="17"/>
      <c r="D17" s="19">
        <f>D16-D15-D13</f>
        <v>3723</v>
      </c>
      <c r="E17" s="35"/>
    </row>
    <row r="18" customFormat="1" spans="1:5">
      <c r="A18" s="25">
        <v>14</v>
      </c>
      <c r="B18" t="s">
        <v>52</v>
      </c>
      <c r="C18" s="17"/>
      <c r="D18" s="19">
        <v>0</v>
      </c>
      <c r="E18" s="35"/>
    </row>
    <row r="19" customFormat="1" spans="1:5">
      <c r="A19" s="25">
        <v>15</v>
      </c>
      <c r="B19" t="s">
        <v>53</v>
      </c>
      <c r="C19" s="17"/>
      <c r="D19" s="17">
        <f>SUM(D17:D18)</f>
        <v>3723</v>
      </c>
      <c r="E19" s="35"/>
    </row>
    <row r="20" spans="1:5">
      <c r="A20" s="25">
        <v>16</v>
      </c>
      <c r="B20" s="32" t="s">
        <v>54</v>
      </c>
      <c r="C20" s="36"/>
      <c r="D20" s="36"/>
      <c r="E20" s="36"/>
    </row>
    <row r="21" customFormat="1" spans="1:5">
      <c r="A21" s="25">
        <v>17</v>
      </c>
      <c r="B21" t="s">
        <v>55</v>
      </c>
      <c r="C21" s="17"/>
      <c r="D21" s="17"/>
      <c r="E21" s="35"/>
    </row>
    <row r="22" customFormat="1" spans="1:4">
      <c r="A22" s="25">
        <v>18</v>
      </c>
      <c r="B22" t="s">
        <v>56</v>
      </c>
      <c r="C22" s="17"/>
      <c r="D22" s="17"/>
    </row>
    <row r="23" customFormat="1" spans="1:5">
      <c r="A23" s="25">
        <v>19</v>
      </c>
      <c r="B23" t="s">
        <v>57</v>
      </c>
      <c r="C23" s="17"/>
      <c r="D23" s="17"/>
      <c r="E23" s="35"/>
    </row>
    <row r="24" customFormat="1" spans="1:5">
      <c r="A24" s="25">
        <v>20</v>
      </c>
      <c r="B24" t="s">
        <v>57</v>
      </c>
      <c r="C24" s="17"/>
      <c r="D24" s="17"/>
      <c r="E24" s="35"/>
    </row>
    <row r="25" customFormat="1" spans="1:5">
      <c r="A25" s="25">
        <v>21</v>
      </c>
      <c r="B25" t="s">
        <v>57</v>
      </c>
      <c r="C25" s="17"/>
      <c r="D25" s="17"/>
      <c r="E25" s="35"/>
    </row>
    <row r="26" customFormat="1" spans="1:5">
      <c r="A26" s="25">
        <v>22</v>
      </c>
      <c r="B26" t="s">
        <v>57</v>
      </c>
      <c r="C26" s="17"/>
      <c r="D26" s="17"/>
      <c r="E26" s="35"/>
    </row>
    <row r="27" customFormat="1" spans="1:4">
      <c r="A27" s="25">
        <v>23</v>
      </c>
      <c r="B27" t="s">
        <v>58</v>
      </c>
      <c r="C27" s="17"/>
      <c r="D27" s="17"/>
    </row>
    <row r="28" customFormat="1" spans="1:4">
      <c r="A28" s="25">
        <v>24</v>
      </c>
      <c r="B28" t="s">
        <v>59</v>
      </c>
      <c r="C28" s="17"/>
      <c r="D28" s="17"/>
    </row>
    <row r="29" customFormat="1" spans="1:4">
      <c r="A29" s="25">
        <v>25</v>
      </c>
      <c r="B29" t="s">
        <v>60</v>
      </c>
      <c r="C29" s="17"/>
      <c r="D29" s="17">
        <f>SUM(D21:D26)-D27-D28</f>
        <v>0</v>
      </c>
    </row>
    <row r="30" spans="1:5">
      <c r="A30" s="25">
        <v>26</v>
      </c>
      <c r="B30" s="32" t="s">
        <v>61</v>
      </c>
      <c r="C30" s="36"/>
      <c r="D30" s="36"/>
      <c r="E30" s="36"/>
    </row>
    <row r="31" customFormat="1" spans="1:4">
      <c r="A31" s="25">
        <v>27</v>
      </c>
      <c r="B31" t="s">
        <v>62</v>
      </c>
      <c r="C31" s="37"/>
      <c r="D31" s="38">
        <v>0</v>
      </c>
    </row>
    <row r="32" spans="1:5">
      <c r="A32" s="25">
        <v>28</v>
      </c>
      <c r="B32" t="s">
        <v>63</v>
      </c>
      <c r="C32" s="19"/>
      <c r="D32" s="17">
        <v>0</v>
      </c>
      <c r="E32" s="35"/>
    </row>
    <row r="33" spans="1:5">
      <c r="A33" s="25">
        <v>29</v>
      </c>
      <c r="B33" s="8" t="s">
        <v>45</v>
      </c>
      <c r="C33" s="32"/>
      <c r="D33" s="39" t="s">
        <v>35</v>
      </c>
      <c r="E33" s="8" t="s">
        <v>48</v>
      </c>
    </row>
    <row r="34" customFormat="1" spans="1:4">
      <c r="A34" s="25">
        <v>30</v>
      </c>
      <c r="B34" t="s">
        <v>64</v>
      </c>
      <c r="D34" s="26"/>
    </row>
    <row r="35" customFormat="1" spans="1:4">
      <c r="A35" s="25">
        <v>31</v>
      </c>
      <c r="B35" t="s">
        <v>65</v>
      </c>
      <c r="D35" s="26"/>
    </row>
    <row r="36" customFormat="1" spans="1:4">
      <c r="A36" s="25">
        <v>32</v>
      </c>
      <c r="B36" t="s">
        <v>66</v>
      </c>
      <c r="D36" s="26"/>
    </row>
    <row r="37" spans="1:5">
      <c r="A37" s="25">
        <v>33</v>
      </c>
      <c r="B37" s="32" t="s">
        <v>67</v>
      </c>
      <c r="C37" s="32"/>
      <c r="D37" s="33">
        <f>SUM(D34:D36)</f>
        <v>0</v>
      </c>
      <c r="E37" s="32"/>
    </row>
    <row r="38" customFormat="1" spans="1:4">
      <c r="A38" s="25">
        <v>34</v>
      </c>
      <c r="B38" t="s">
        <v>68</v>
      </c>
      <c r="D38" s="26"/>
    </row>
    <row r="39" customFormat="1" spans="1:4">
      <c r="A39" s="25">
        <v>35</v>
      </c>
      <c r="B39" t="s">
        <v>69</v>
      </c>
      <c r="D39" s="26"/>
    </row>
    <row r="40" spans="1:5">
      <c r="A40" s="25">
        <v>36</v>
      </c>
      <c r="B40" s="32" t="s">
        <v>70</v>
      </c>
      <c r="C40" s="32"/>
      <c r="D40" s="33">
        <f>SUM(D38:D39)</f>
        <v>0</v>
      </c>
      <c r="E40" s="32"/>
    </row>
    <row r="41" spans="1:5">
      <c r="A41" s="25">
        <v>37</v>
      </c>
      <c r="B41" s="32" t="s">
        <v>71</v>
      </c>
      <c r="C41" s="32"/>
      <c r="D41" s="33">
        <f>D37-D40</f>
        <v>0</v>
      </c>
      <c r="E41" s="32"/>
    </row>
    <row r="42" spans="1:8">
      <c r="A42" s="25">
        <v>38</v>
      </c>
      <c r="B42" t="s">
        <v>72</v>
      </c>
      <c r="C42"/>
      <c r="D42"/>
      <c r="E42" s="17"/>
      <c r="F42" s="38"/>
      <c r="G42" s="38"/>
      <c r="H42" s="38"/>
    </row>
    <row r="43" spans="1:8">
      <c r="A43" s="25">
        <v>39</v>
      </c>
      <c r="B43" s="7" t="s">
        <v>73</v>
      </c>
      <c r="C43" s="34" t="s">
        <v>74</v>
      </c>
      <c r="D43" s="34" t="s">
        <v>75</v>
      </c>
      <c r="E43" s="32" t="s">
        <v>76</v>
      </c>
      <c r="F43" s="40"/>
      <c r="G43" s="40"/>
      <c r="H43" s="40"/>
    </row>
    <row r="44" spans="1:8">
      <c r="A44" s="25">
        <v>40</v>
      </c>
      <c r="B44" s="48"/>
      <c r="C44" s="49"/>
      <c r="D44" s="2"/>
      <c r="E44" s="19"/>
      <c r="F44" s="44"/>
      <c r="G44" s="37"/>
      <c r="H44" s="37"/>
    </row>
    <row r="45" spans="1:8">
      <c r="A45" s="25">
        <v>41</v>
      </c>
      <c r="B45" s="48"/>
      <c r="C45" s="49"/>
      <c r="D45" s="2"/>
      <c r="E45" s="19"/>
      <c r="F45" s="44"/>
      <c r="G45" s="37"/>
      <c r="H45" s="37"/>
    </row>
    <row r="46" spans="1:8">
      <c r="A46" s="25">
        <v>42</v>
      </c>
      <c r="B46" s="48"/>
      <c r="C46" s="49"/>
      <c r="D46" s="2"/>
      <c r="E46" s="19"/>
      <c r="F46" s="44"/>
      <c r="G46" s="37"/>
      <c r="H46" s="37"/>
    </row>
    <row r="47" spans="1:8">
      <c r="A47" s="25">
        <v>43</v>
      </c>
      <c r="B47" s="48"/>
      <c r="C47" s="49"/>
      <c r="D47" s="2"/>
      <c r="E47" s="19"/>
      <c r="F47" s="44"/>
      <c r="G47" s="37"/>
      <c r="H47" s="37"/>
    </row>
    <row r="48" spans="1:8">
      <c r="A48" s="25">
        <v>44</v>
      </c>
      <c r="B48" s="48"/>
      <c r="C48" s="49"/>
      <c r="D48" s="2"/>
      <c r="E48" s="19"/>
      <c r="F48" s="44"/>
      <c r="G48" s="37"/>
      <c r="H48" s="37"/>
    </row>
    <row r="49" spans="1:8">
      <c r="A49" s="25">
        <v>45</v>
      </c>
      <c r="B49" s="48"/>
      <c r="C49" s="49"/>
      <c r="D49" s="2"/>
      <c r="E49" s="19"/>
      <c r="F49" s="44"/>
      <c r="G49" s="37"/>
      <c r="H49" s="37"/>
    </row>
    <row r="50" spans="1:8">
      <c r="A50" s="25">
        <v>46</v>
      </c>
      <c r="B50" s="48"/>
      <c r="C50" s="49"/>
      <c r="D50" s="2"/>
      <c r="E50" s="19"/>
      <c r="F50" s="37"/>
      <c r="G50" s="37"/>
      <c r="H50" s="37"/>
    </row>
    <row r="51" spans="1:8">
      <c r="A51" s="25">
        <v>47</v>
      </c>
      <c r="B51" s="48"/>
      <c r="C51" s="49"/>
      <c r="D51" s="2"/>
      <c r="E51" s="19"/>
      <c r="F51" s="44"/>
      <c r="G51" s="44"/>
      <c r="H51" s="44"/>
    </row>
    <row r="52" spans="1:8">
      <c r="A52" s="25">
        <v>48</v>
      </c>
      <c r="B52" s="48"/>
      <c r="C52" s="49"/>
      <c r="D52" s="2"/>
      <c r="E52" s="19"/>
      <c r="F52" s="44"/>
      <c r="G52" s="37"/>
      <c r="H52" s="37"/>
    </row>
    <row r="53" spans="1:8">
      <c r="A53" s="25">
        <v>49</v>
      </c>
      <c r="B53" s="48"/>
      <c r="C53" s="49"/>
      <c r="D53" s="2"/>
      <c r="E53" s="19"/>
      <c r="F53" s="37"/>
      <c r="G53" s="37"/>
      <c r="H53" s="37"/>
    </row>
    <row r="54" spans="1:8">
      <c r="A54" s="25">
        <v>50</v>
      </c>
      <c r="B54" s="32" t="s">
        <v>77</v>
      </c>
      <c r="C54" s="50"/>
      <c r="D54" s="50"/>
      <c r="E54" s="52">
        <f>SUM(E44:E53)</f>
        <v>0</v>
      </c>
      <c r="F54" s="37"/>
      <c r="G54" s="37"/>
      <c r="H54" s="37"/>
    </row>
  </sheetData>
  <printOptions gridLines="1"/>
  <pageMargins left="0.75" right="0.75" top="1" bottom="1" header="0.5" footer="0.5"/>
  <pageSetup paperSize="9" scale="85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view="pageBreakPreview" zoomScaleNormal="100" topLeftCell="A36" workbookViewId="0">
      <selection activeCell="G50" sqref="G50"/>
    </sheetView>
  </sheetViews>
  <sheetFormatPr defaultColWidth="8.77777777777778" defaultRowHeight="12.75" outlineLevelCol="7"/>
  <cols>
    <col min="1" max="1" width="5.33333333333333" style="1" customWidth="1"/>
    <col min="2" max="2" width="39.7777777777778" customWidth="1"/>
    <col min="3" max="3" width="13.4444444444444" style="17" customWidth="1"/>
    <col min="4" max="4" width="12.7777777777778" style="17" customWidth="1"/>
    <col min="5" max="5" width="41.8888888888889" customWidth="1"/>
  </cols>
  <sheetData>
    <row r="1" customFormat="1" spans="1:4">
      <c r="A1" s="1" t="s">
        <v>0</v>
      </c>
      <c r="C1" s="17"/>
      <c r="D1" s="17"/>
    </row>
    <row r="2" customFormat="1" spans="1:4">
      <c r="A2" s="18" t="s">
        <v>151</v>
      </c>
      <c r="B2" s="2"/>
      <c r="C2" s="17" t="s">
        <v>30</v>
      </c>
      <c r="D2" s="19" t="s">
        <v>31</v>
      </c>
    </row>
    <row r="3" customFormat="1" spans="1:7">
      <c r="A3" s="1" t="s">
        <v>138</v>
      </c>
      <c r="B3" s="2"/>
      <c r="C3" s="17" t="s">
        <v>2</v>
      </c>
      <c r="D3" s="20">
        <f>'1. Bank balance statement'!B3</f>
        <v>45996</v>
      </c>
      <c r="F3" s="21"/>
      <c r="G3" s="22"/>
    </row>
    <row r="4" s="16" customFormat="1" spans="1:5">
      <c r="A4" s="23" t="s">
        <v>3</v>
      </c>
      <c r="B4" s="8" t="s">
        <v>33</v>
      </c>
      <c r="C4" s="24" t="s">
        <v>34</v>
      </c>
      <c r="D4" s="24" t="s">
        <v>35</v>
      </c>
      <c r="E4" s="14" t="s">
        <v>36</v>
      </c>
    </row>
    <row r="5" customFormat="1" spans="1:5">
      <c r="A5" s="25">
        <v>1</v>
      </c>
      <c r="B5" t="s">
        <v>37</v>
      </c>
      <c r="C5"/>
      <c r="D5" s="26"/>
      <c r="E5" s="26"/>
    </row>
    <row r="6" customFormat="1" spans="1:5">
      <c r="A6" s="25">
        <v>2</v>
      </c>
      <c r="B6" t="s">
        <v>38</v>
      </c>
      <c r="C6"/>
      <c r="D6" s="26"/>
      <c r="E6" s="26"/>
    </row>
    <row r="7" customFormat="1" spans="1:5">
      <c r="A7" s="25">
        <v>3</v>
      </c>
      <c r="B7" t="s">
        <v>39</v>
      </c>
      <c r="C7"/>
      <c r="D7" s="26"/>
      <c r="E7" s="26"/>
    </row>
    <row r="8" customFormat="1" spans="1:5">
      <c r="A8" s="25">
        <v>4</v>
      </c>
      <c r="B8" t="s">
        <v>40</v>
      </c>
      <c r="C8"/>
      <c r="D8" s="26"/>
      <c r="E8" s="26"/>
    </row>
    <row r="9" customFormat="1" spans="1:5">
      <c r="A9" s="25">
        <v>5</v>
      </c>
      <c r="B9" t="s">
        <v>41</v>
      </c>
      <c r="C9"/>
      <c r="D9" s="26"/>
      <c r="E9" s="26"/>
    </row>
    <row r="10" customFormat="1" ht="12" customHeight="1" spans="1:5">
      <c r="A10" s="25">
        <v>6</v>
      </c>
      <c r="B10" t="s">
        <v>42</v>
      </c>
      <c r="C10"/>
      <c r="D10" s="26"/>
      <c r="E10" s="26"/>
    </row>
    <row r="11" customFormat="1" spans="1:5">
      <c r="A11" s="25">
        <v>7</v>
      </c>
      <c r="B11" t="s">
        <v>42</v>
      </c>
      <c r="C11"/>
      <c r="D11" s="26"/>
      <c r="E11" s="26"/>
    </row>
    <row r="12" customFormat="1" ht="31.95" customHeight="1" spans="1:5">
      <c r="A12" s="25">
        <v>8</v>
      </c>
      <c r="B12" t="s">
        <v>42</v>
      </c>
      <c r="C12"/>
      <c r="D12" s="53">
        <f>1180</f>
        <v>1180</v>
      </c>
      <c r="E12" s="54" t="s">
        <v>152</v>
      </c>
    </row>
    <row r="13" customFormat="1" spans="1:5">
      <c r="A13" s="25">
        <v>9</v>
      </c>
      <c r="B13" s="32" t="s">
        <v>44</v>
      </c>
      <c r="C13" s="32"/>
      <c r="D13" s="33">
        <f>SUM(D5:D12)</f>
        <v>1180</v>
      </c>
      <c r="E13" s="33"/>
    </row>
    <row r="14" customFormat="1" ht="51" spans="1:5">
      <c r="A14" s="25">
        <v>10</v>
      </c>
      <c r="B14" s="7" t="s">
        <v>45</v>
      </c>
      <c r="C14" s="34" t="s">
        <v>46</v>
      </c>
      <c r="D14" s="34" t="s">
        <v>47</v>
      </c>
      <c r="E14" s="34" t="s">
        <v>48</v>
      </c>
    </row>
    <row r="15" customFormat="1" spans="1:5">
      <c r="A15" s="25">
        <v>11</v>
      </c>
      <c r="B15" t="s">
        <v>49</v>
      </c>
      <c r="C15" s="19"/>
      <c r="D15" s="19">
        <v>0</v>
      </c>
      <c r="E15" s="2"/>
    </row>
    <row r="16" customFormat="1" spans="1:5">
      <c r="A16" s="25">
        <v>12</v>
      </c>
      <c r="B16" t="s">
        <v>50</v>
      </c>
      <c r="C16" s="17"/>
      <c r="D16" s="19">
        <v>18973</v>
      </c>
      <c r="E16" s="2"/>
    </row>
    <row r="17" customFormat="1" spans="1:5">
      <c r="A17" s="25">
        <v>13</v>
      </c>
      <c r="B17" t="s">
        <v>51</v>
      </c>
      <c r="C17" s="17"/>
      <c r="D17" s="19">
        <f>D16-D15-D13</f>
        <v>17793</v>
      </c>
      <c r="E17" s="35"/>
    </row>
    <row r="18" customFormat="1" spans="1:5">
      <c r="A18" s="25">
        <v>14</v>
      </c>
      <c r="B18" t="s">
        <v>52</v>
      </c>
      <c r="C18" s="17"/>
      <c r="D18" s="19">
        <v>0</v>
      </c>
      <c r="E18" s="35"/>
    </row>
    <row r="19" customFormat="1" spans="1:5">
      <c r="A19" s="25">
        <v>15</v>
      </c>
      <c r="B19" t="s">
        <v>53</v>
      </c>
      <c r="C19" s="17"/>
      <c r="D19" s="17">
        <f>SUM(D17:D18)</f>
        <v>17793</v>
      </c>
      <c r="E19" s="35"/>
    </row>
    <row r="20" customFormat="1" spans="1:5">
      <c r="A20" s="25">
        <v>16</v>
      </c>
      <c r="B20" s="32" t="s">
        <v>54</v>
      </c>
      <c r="C20" s="36"/>
      <c r="D20" s="36"/>
      <c r="E20" s="36"/>
    </row>
    <row r="21" customFormat="1" spans="1:5">
      <c r="A21" s="25">
        <v>17</v>
      </c>
      <c r="B21" t="s">
        <v>55</v>
      </c>
      <c r="C21" s="17"/>
      <c r="D21" s="17"/>
      <c r="E21" s="35"/>
    </row>
    <row r="22" customFormat="1" spans="1:4">
      <c r="A22" s="25">
        <v>18</v>
      </c>
      <c r="B22" t="s">
        <v>56</v>
      </c>
      <c r="C22" s="17"/>
      <c r="D22" s="17"/>
    </row>
    <row r="23" customFormat="1" spans="1:5">
      <c r="A23" s="25">
        <v>19</v>
      </c>
      <c r="B23" t="s">
        <v>57</v>
      </c>
      <c r="C23" s="17"/>
      <c r="D23" s="17"/>
      <c r="E23" s="35"/>
    </row>
    <row r="24" customFormat="1" spans="1:5">
      <c r="A24" s="25">
        <v>20</v>
      </c>
      <c r="B24" t="s">
        <v>57</v>
      </c>
      <c r="C24" s="17"/>
      <c r="D24" s="17"/>
      <c r="E24" s="35"/>
    </row>
    <row r="25" customFormat="1" spans="1:5">
      <c r="A25" s="25">
        <v>21</v>
      </c>
      <c r="B25" t="s">
        <v>57</v>
      </c>
      <c r="C25" s="17"/>
      <c r="D25" s="17"/>
      <c r="E25" s="35"/>
    </row>
    <row r="26" customFormat="1" spans="1:5">
      <c r="A26" s="25">
        <v>22</v>
      </c>
      <c r="B26" t="s">
        <v>57</v>
      </c>
      <c r="C26" s="17"/>
      <c r="D26" s="17"/>
      <c r="E26" s="35"/>
    </row>
    <row r="27" customFormat="1" spans="1:4">
      <c r="A27" s="25">
        <v>23</v>
      </c>
      <c r="B27" t="s">
        <v>58</v>
      </c>
      <c r="C27" s="17"/>
      <c r="D27" s="17"/>
    </row>
    <row r="28" customFormat="1" spans="1:4">
      <c r="A28" s="25">
        <v>24</v>
      </c>
      <c r="B28" t="s">
        <v>59</v>
      </c>
      <c r="C28" s="17"/>
      <c r="D28" s="17"/>
    </row>
    <row r="29" customFormat="1" spans="1:4">
      <c r="A29" s="25">
        <v>25</v>
      </c>
      <c r="B29" t="s">
        <v>60</v>
      </c>
      <c r="C29" s="17"/>
      <c r="D29" s="17">
        <f>SUM(D21:D26)-D27-D28</f>
        <v>0</v>
      </c>
    </row>
    <row r="30" customFormat="1" spans="1:5">
      <c r="A30" s="25">
        <v>26</v>
      </c>
      <c r="B30" s="32" t="s">
        <v>61</v>
      </c>
      <c r="C30" s="36"/>
      <c r="D30" s="36"/>
      <c r="E30" s="36"/>
    </row>
    <row r="31" customFormat="1" spans="1:4">
      <c r="A31" s="25">
        <v>27</v>
      </c>
      <c r="B31" t="s">
        <v>62</v>
      </c>
      <c r="C31" s="37"/>
      <c r="D31" s="38">
        <v>0</v>
      </c>
    </row>
    <row r="32" customFormat="1" spans="1:5">
      <c r="A32" s="25">
        <v>28</v>
      </c>
      <c r="B32" t="s">
        <v>63</v>
      </c>
      <c r="C32" s="19"/>
      <c r="D32" s="17">
        <v>0</v>
      </c>
      <c r="E32" s="35"/>
    </row>
    <row r="33" customFormat="1" spans="1:5">
      <c r="A33" s="25">
        <v>29</v>
      </c>
      <c r="B33" s="8" t="s">
        <v>45</v>
      </c>
      <c r="C33" s="32"/>
      <c r="D33" s="39" t="s">
        <v>35</v>
      </c>
      <c r="E33" s="8" t="s">
        <v>48</v>
      </c>
    </row>
    <row r="34" customFormat="1" spans="1:4">
      <c r="A34" s="25">
        <v>30</v>
      </c>
      <c r="B34" t="s">
        <v>64</v>
      </c>
      <c r="C34"/>
      <c r="D34" s="26"/>
    </row>
    <row r="35" customFormat="1" spans="1:4">
      <c r="A35" s="25">
        <v>31</v>
      </c>
      <c r="B35" t="s">
        <v>65</v>
      </c>
      <c r="C35"/>
      <c r="D35" s="26"/>
    </row>
    <row r="36" customFormat="1" spans="1:4">
      <c r="A36" s="25">
        <v>32</v>
      </c>
      <c r="B36" t="s">
        <v>66</v>
      </c>
      <c r="C36"/>
      <c r="D36" s="26"/>
    </row>
    <row r="37" customFormat="1" spans="1:5">
      <c r="A37" s="25">
        <v>33</v>
      </c>
      <c r="B37" s="32" t="s">
        <v>67</v>
      </c>
      <c r="C37" s="32"/>
      <c r="D37" s="33">
        <f>SUM(D34:D36)</f>
        <v>0</v>
      </c>
      <c r="E37" s="32"/>
    </row>
    <row r="38" customFormat="1" spans="1:4">
      <c r="A38" s="25">
        <v>34</v>
      </c>
      <c r="B38" t="s">
        <v>68</v>
      </c>
      <c r="C38"/>
      <c r="D38" s="26"/>
    </row>
    <row r="39" customFormat="1" spans="1:4">
      <c r="A39" s="25">
        <v>35</v>
      </c>
      <c r="B39" t="s">
        <v>69</v>
      </c>
      <c r="C39"/>
      <c r="D39" s="26"/>
    </row>
    <row r="40" customFormat="1" spans="1:5">
      <c r="A40" s="25">
        <v>36</v>
      </c>
      <c r="B40" s="32" t="s">
        <v>70</v>
      </c>
      <c r="C40" s="32"/>
      <c r="D40" s="33">
        <f>SUM(D38:D39)</f>
        <v>0</v>
      </c>
      <c r="E40" s="32"/>
    </row>
    <row r="41" customFormat="1" spans="1:5">
      <c r="A41" s="25">
        <v>37</v>
      </c>
      <c r="B41" s="32" t="s">
        <v>71</v>
      </c>
      <c r="C41" s="32"/>
      <c r="D41" s="33">
        <f>D37-D40</f>
        <v>0</v>
      </c>
      <c r="E41" s="32"/>
    </row>
    <row r="42" customFormat="1" spans="1:8">
      <c r="A42" s="25">
        <v>38</v>
      </c>
      <c r="B42" t="s">
        <v>72</v>
      </c>
      <c r="C42"/>
      <c r="D42"/>
      <c r="E42" s="17"/>
      <c r="F42" s="38"/>
      <c r="G42" s="38"/>
      <c r="H42" s="38"/>
    </row>
    <row r="43" customFormat="1" spans="1:8">
      <c r="A43" s="25">
        <v>39</v>
      </c>
      <c r="B43" s="7" t="s">
        <v>73</v>
      </c>
      <c r="C43" s="34" t="s">
        <v>74</v>
      </c>
      <c r="D43" s="34" t="s">
        <v>75</v>
      </c>
      <c r="E43" s="32" t="s">
        <v>76</v>
      </c>
      <c r="F43" s="40"/>
      <c r="G43" s="40"/>
      <c r="H43" s="40"/>
    </row>
    <row r="44" customFormat="1" spans="1:8">
      <c r="A44" s="25">
        <v>40</v>
      </c>
      <c r="B44" s="48"/>
      <c r="C44" s="49"/>
      <c r="D44" s="2"/>
      <c r="E44" s="19"/>
      <c r="F44" s="44"/>
      <c r="G44" s="37"/>
      <c r="H44" s="37"/>
    </row>
    <row r="45" customFormat="1" spans="1:8">
      <c r="A45" s="25">
        <v>41</v>
      </c>
      <c r="B45" s="48"/>
      <c r="C45" s="49"/>
      <c r="D45" s="2"/>
      <c r="E45" s="19"/>
      <c r="F45" s="44"/>
      <c r="G45" s="37"/>
      <c r="H45" s="37"/>
    </row>
    <row r="46" customFormat="1" spans="1:8">
      <c r="A46" s="25">
        <v>42</v>
      </c>
      <c r="B46" s="48"/>
      <c r="C46" s="49"/>
      <c r="D46" s="2"/>
      <c r="E46" s="19"/>
      <c r="F46" s="44"/>
      <c r="G46" s="37"/>
      <c r="H46" s="37"/>
    </row>
    <row r="47" customFormat="1" spans="1:8">
      <c r="A47" s="25">
        <v>43</v>
      </c>
      <c r="B47" s="48"/>
      <c r="C47" s="49"/>
      <c r="D47" s="2"/>
      <c r="E47" s="19"/>
      <c r="F47" s="44"/>
      <c r="G47" s="37"/>
      <c r="H47" s="37"/>
    </row>
    <row r="48" customFormat="1" spans="1:8">
      <c r="A48" s="25">
        <v>44</v>
      </c>
      <c r="B48" s="48"/>
      <c r="C48" s="49"/>
      <c r="D48" s="2"/>
      <c r="E48" s="19"/>
      <c r="F48" s="44"/>
      <c r="G48" s="37"/>
      <c r="H48" s="37"/>
    </row>
    <row r="49" customFormat="1" spans="1:8">
      <c r="A49" s="25">
        <v>45</v>
      </c>
      <c r="B49" s="48"/>
      <c r="C49" s="49"/>
      <c r="D49" s="2"/>
      <c r="E49" s="19"/>
      <c r="F49" s="44"/>
      <c r="G49" s="37"/>
      <c r="H49" s="37"/>
    </row>
    <row r="50" customFormat="1" spans="1:8">
      <c r="A50" s="25">
        <v>46</v>
      </c>
      <c r="B50" s="48"/>
      <c r="C50" s="49"/>
      <c r="D50" s="2"/>
      <c r="E50" s="19"/>
      <c r="F50" s="37"/>
      <c r="G50" s="37"/>
      <c r="H50" s="37"/>
    </row>
    <row r="51" customFormat="1" spans="1:8">
      <c r="A51" s="25">
        <v>47</v>
      </c>
      <c r="B51" s="48"/>
      <c r="C51" s="49"/>
      <c r="D51" s="2"/>
      <c r="E51" s="19"/>
      <c r="F51" s="44"/>
      <c r="G51" s="44"/>
      <c r="H51" s="44"/>
    </row>
    <row r="52" customFormat="1" spans="1:8">
      <c r="A52" s="25">
        <v>48</v>
      </c>
      <c r="B52" s="48"/>
      <c r="C52" s="49"/>
      <c r="D52" s="2"/>
      <c r="E52" s="19"/>
      <c r="F52" s="44"/>
      <c r="G52" s="37"/>
      <c r="H52" s="37"/>
    </row>
    <row r="53" customFormat="1" spans="1:8">
      <c r="A53" s="25">
        <v>49</v>
      </c>
      <c r="B53" s="48"/>
      <c r="C53" s="49"/>
      <c r="D53" s="2"/>
      <c r="E53" s="19"/>
      <c r="F53" s="37"/>
      <c r="G53" s="37"/>
      <c r="H53" s="37"/>
    </row>
    <row r="54" customFormat="1" spans="1:8">
      <c r="A54" s="25">
        <v>50</v>
      </c>
      <c r="B54" s="32" t="s">
        <v>77</v>
      </c>
      <c r="C54" s="50"/>
      <c r="D54" s="50"/>
      <c r="E54" s="52">
        <f>SUM(E44:E53)</f>
        <v>0</v>
      </c>
      <c r="F54" s="37"/>
      <c r="G54" s="37"/>
      <c r="H54" s="37"/>
    </row>
    <row r="55" customFormat="1" spans="1:4">
      <c r="A55" s="1"/>
      <c r="C55" s="17"/>
      <c r="D55" s="17"/>
    </row>
  </sheetData>
  <printOptions gridLines="1"/>
  <pageMargins left="0.75" right="0.75" top="1" bottom="1" header="0.5" footer="0.5"/>
  <pageSetup paperSize="9" scale="85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"/>
  <sheetViews>
    <sheetView tabSelected="1" view="pageBreakPreview" zoomScaleNormal="100" topLeftCell="A38" workbookViewId="0">
      <selection activeCell="J52" sqref="J52"/>
    </sheetView>
  </sheetViews>
  <sheetFormatPr defaultColWidth="8.77777777777778" defaultRowHeight="12.75" outlineLevelCol="7"/>
  <cols>
    <col min="1" max="1" width="5.33333333333333" style="1" customWidth="1"/>
    <col min="2" max="2" width="39.7777777777778" customWidth="1"/>
    <col min="3" max="3" width="13.4444444444444" style="17" customWidth="1"/>
    <col min="4" max="4" width="12.7777777777778" style="17" customWidth="1"/>
    <col min="5" max="5" width="46.6666666666667" customWidth="1"/>
  </cols>
  <sheetData>
    <row r="1" customFormat="1" spans="1:4">
      <c r="A1" s="1" t="s">
        <v>0</v>
      </c>
      <c r="C1" s="17"/>
      <c r="D1" s="17"/>
    </row>
    <row r="2" customFormat="1" spans="1:4">
      <c r="A2" s="18" t="s">
        <v>153</v>
      </c>
      <c r="B2" s="2"/>
      <c r="C2" s="17" t="s">
        <v>30</v>
      </c>
      <c r="D2" s="19" t="s">
        <v>31</v>
      </c>
    </row>
    <row r="3" customFormat="1" spans="1:7">
      <c r="A3" s="1" t="s">
        <v>138</v>
      </c>
      <c r="B3" s="2" t="s">
        <v>154</v>
      </c>
      <c r="C3" s="17" t="s">
        <v>2</v>
      </c>
      <c r="D3" s="20">
        <f>'1. Bank balance statement'!B3</f>
        <v>45996</v>
      </c>
      <c r="F3" s="21"/>
      <c r="G3" s="22"/>
    </row>
    <row r="4" s="16" customFormat="1" spans="1:5">
      <c r="A4" s="23" t="s">
        <v>3</v>
      </c>
      <c r="B4" s="8" t="s">
        <v>33</v>
      </c>
      <c r="C4" s="24" t="s">
        <v>34</v>
      </c>
      <c r="D4" s="24" t="s">
        <v>35</v>
      </c>
      <c r="E4" s="14" t="s">
        <v>36</v>
      </c>
    </row>
    <row r="5" spans="1:5">
      <c r="A5" s="25">
        <v>1</v>
      </c>
      <c r="B5" t="s">
        <v>37</v>
      </c>
      <c r="C5"/>
      <c r="D5" s="26"/>
      <c r="E5" s="26"/>
    </row>
    <row r="6" spans="1:5">
      <c r="A6" s="25">
        <v>2</v>
      </c>
      <c r="B6" t="s">
        <v>38</v>
      </c>
      <c r="C6"/>
      <c r="D6" s="26"/>
      <c r="E6" s="26"/>
    </row>
    <row r="7" spans="1:5">
      <c r="A7" s="25">
        <v>3</v>
      </c>
      <c r="B7" t="s">
        <v>39</v>
      </c>
      <c r="C7"/>
      <c r="D7" s="26"/>
      <c r="E7" s="26"/>
    </row>
    <row r="8" spans="1:5">
      <c r="A8" s="25">
        <v>4</v>
      </c>
      <c r="B8" t="s">
        <v>40</v>
      </c>
      <c r="C8"/>
      <c r="D8" s="26"/>
      <c r="E8" s="26"/>
    </row>
    <row r="9" spans="1:5">
      <c r="A9" s="25">
        <v>5</v>
      </c>
      <c r="B9" t="s">
        <v>41</v>
      </c>
      <c r="C9"/>
      <c r="D9" s="27">
        <v>31830</v>
      </c>
      <c r="E9" s="27" t="s">
        <v>143</v>
      </c>
    </row>
    <row r="10" ht="12" customHeight="1" spans="1:5">
      <c r="A10" s="25">
        <v>6</v>
      </c>
      <c r="B10" t="s">
        <v>42</v>
      </c>
      <c r="C10"/>
      <c r="D10" s="27">
        <v>21141</v>
      </c>
      <c r="E10" s="27" t="s">
        <v>155</v>
      </c>
    </row>
    <row r="11" spans="1:5">
      <c r="A11" s="25">
        <v>7</v>
      </c>
      <c r="B11" t="s">
        <v>42</v>
      </c>
      <c r="C11"/>
      <c r="D11" s="27">
        <v>10125</v>
      </c>
      <c r="E11" s="28" t="s">
        <v>156</v>
      </c>
    </row>
    <row r="12" spans="1:5">
      <c r="A12" s="25">
        <v>8</v>
      </c>
      <c r="B12" t="s">
        <v>42</v>
      </c>
      <c r="C12"/>
      <c r="D12" s="27">
        <v>678</v>
      </c>
      <c r="E12" s="27" t="s">
        <v>157</v>
      </c>
    </row>
    <row r="13" ht="31.95" customHeight="1" spans="1:5">
      <c r="A13" s="25">
        <v>9</v>
      </c>
      <c r="B13" t="s">
        <v>42</v>
      </c>
      <c r="C13"/>
      <c r="D13" s="27">
        <v>495019</v>
      </c>
      <c r="E13" s="29" t="s">
        <v>141</v>
      </c>
    </row>
    <row r="14" spans="1:5">
      <c r="A14" s="25">
        <v>10</v>
      </c>
      <c r="B14" t="s">
        <v>42</v>
      </c>
      <c r="C14"/>
      <c r="D14" s="27">
        <v>8640</v>
      </c>
      <c r="E14" s="27" t="s">
        <v>158</v>
      </c>
    </row>
    <row r="15" spans="1:5">
      <c r="A15" s="25">
        <v>11</v>
      </c>
      <c r="B15" t="s">
        <v>42</v>
      </c>
      <c r="C15"/>
      <c r="D15" s="30">
        <v>24737</v>
      </c>
      <c r="E15" s="31" t="s">
        <v>159</v>
      </c>
    </row>
    <row r="16" spans="1:5">
      <c r="A16" s="25">
        <v>12</v>
      </c>
      <c r="B16" s="32" t="s">
        <v>44</v>
      </c>
      <c r="C16" s="32"/>
      <c r="D16" s="33">
        <f>SUM(D5:D15)</f>
        <v>592170</v>
      </c>
      <c r="E16" s="33"/>
    </row>
    <row r="17" ht="51" spans="1:5">
      <c r="A17" s="25">
        <v>13</v>
      </c>
      <c r="B17" s="7" t="s">
        <v>45</v>
      </c>
      <c r="C17" s="34" t="s">
        <v>46</v>
      </c>
      <c r="D17" s="34" t="s">
        <v>47</v>
      </c>
      <c r="E17" s="34" t="s">
        <v>48</v>
      </c>
    </row>
    <row r="18" spans="1:5">
      <c r="A18" s="25">
        <v>14</v>
      </c>
      <c r="B18" t="s">
        <v>49</v>
      </c>
      <c r="C18" s="19"/>
      <c r="D18" s="19">
        <v>0</v>
      </c>
      <c r="E18" s="2"/>
    </row>
    <row r="19" customFormat="1" spans="1:5">
      <c r="A19" s="25">
        <v>15</v>
      </c>
      <c r="B19" t="s">
        <v>50</v>
      </c>
      <c r="C19" s="17"/>
      <c r="D19" s="19">
        <v>1514</v>
      </c>
      <c r="E19" s="2"/>
    </row>
    <row r="20" customFormat="1" spans="1:5">
      <c r="A20" s="25">
        <v>16</v>
      </c>
      <c r="B20" t="s">
        <v>51</v>
      </c>
      <c r="C20" s="17"/>
      <c r="D20" s="19">
        <f>D19-D18-D16</f>
        <v>-590656</v>
      </c>
      <c r="E20" s="35"/>
    </row>
    <row r="21" customFormat="1" spans="1:5">
      <c r="A21" s="25">
        <v>17</v>
      </c>
      <c r="B21" t="s">
        <v>52</v>
      </c>
      <c r="C21" s="17"/>
      <c r="D21" s="19">
        <v>0</v>
      </c>
      <c r="E21" s="35"/>
    </row>
    <row r="22" customFormat="1" spans="1:5">
      <c r="A22" s="25">
        <v>18</v>
      </c>
      <c r="B22" t="s">
        <v>53</v>
      </c>
      <c r="C22" s="17"/>
      <c r="D22" s="17">
        <f>SUM(D20:D21)</f>
        <v>-590656</v>
      </c>
      <c r="E22" s="35"/>
    </row>
    <row r="23" spans="1:5">
      <c r="A23" s="25">
        <v>19</v>
      </c>
      <c r="B23" s="32" t="s">
        <v>54</v>
      </c>
      <c r="C23" s="36"/>
      <c r="D23" s="36"/>
      <c r="E23" s="36"/>
    </row>
    <row r="24" customFormat="1" spans="1:5">
      <c r="A24" s="25">
        <v>20</v>
      </c>
      <c r="B24" t="s">
        <v>55</v>
      </c>
      <c r="C24" s="17"/>
      <c r="D24" s="17"/>
      <c r="E24" s="35"/>
    </row>
    <row r="25" customFormat="1" spans="1:4">
      <c r="A25" s="25">
        <v>21</v>
      </c>
      <c r="B25" t="s">
        <v>56</v>
      </c>
      <c r="C25" s="17"/>
      <c r="D25" s="17"/>
    </row>
    <row r="26" customFormat="1" spans="1:5">
      <c r="A26" s="25">
        <v>22</v>
      </c>
      <c r="B26" t="s">
        <v>57</v>
      </c>
      <c r="C26" s="17"/>
      <c r="D26" s="17"/>
      <c r="E26" s="35"/>
    </row>
    <row r="27" customFormat="1" spans="1:5">
      <c r="A27" s="25">
        <v>23</v>
      </c>
      <c r="B27" t="s">
        <v>57</v>
      </c>
      <c r="C27" s="17"/>
      <c r="D27" s="17"/>
      <c r="E27" s="35"/>
    </row>
    <row r="28" customFormat="1" spans="1:5">
      <c r="A28" s="25">
        <v>24</v>
      </c>
      <c r="B28" t="s">
        <v>57</v>
      </c>
      <c r="C28" s="17"/>
      <c r="D28" s="17"/>
      <c r="E28" s="35"/>
    </row>
    <row r="29" customFormat="1" spans="1:5">
      <c r="A29" s="25">
        <v>25</v>
      </c>
      <c r="B29" t="s">
        <v>57</v>
      </c>
      <c r="C29" s="17"/>
      <c r="D29" s="17"/>
      <c r="E29" s="35"/>
    </row>
    <row r="30" customFormat="1" spans="1:4">
      <c r="A30" s="25">
        <v>26</v>
      </c>
      <c r="B30" t="s">
        <v>58</v>
      </c>
      <c r="C30" s="17"/>
      <c r="D30" s="17"/>
    </row>
    <row r="31" customFormat="1" spans="1:4">
      <c r="A31" s="25">
        <v>27</v>
      </c>
      <c r="B31" t="s">
        <v>59</v>
      </c>
      <c r="C31" s="17"/>
      <c r="D31" s="17"/>
    </row>
    <row r="32" customFormat="1" spans="1:4">
      <c r="A32" s="25">
        <v>28</v>
      </c>
      <c r="B32" t="s">
        <v>60</v>
      </c>
      <c r="C32" s="17"/>
      <c r="D32" s="17">
        <f>SUM(D24:D29)-D30-D31</f>
        <v>0</v>
      </c>
    </row>
    <row r="33" spans="1:5">
      <c r="A33" s="25">
        <v>29</v>
      </c>
      <c r="B33" s="32" t="s">
        <v>61</v>
      </c>
      <c r="C33" s="36"/>
      <c r="D33" s="36"/>
      <c r="E33" s="36"/>
    </row>
    <row r="34" customFormat="1" spans="1:4">
      <c r="A34" s="25">
        <v>30</v>
      </c>
      <c r="B34" t="s">
        <v>62</v>
      </c>
      <c r="C34" s="37"/>
      <c r="D34" s="38">
        <v>0</v>
      </c>
    </row>
    <row r="35" spans="1:5">
      <c r="A35" s="25">
        <v>31</v>
      </c>
      <c r="B35" t="s">
        <v>63</v>
      </c>
      <c r="C35" s="19"/>
      <c r="D35" s="17">
        <v>0</v>
      </c>
      <c r="E35" s="35"/>
    </row>
    <row r="36" spans="1:5">
      <c r="A36" s="25">
        <v>32</v>
      </c>
      <c r="B36" s="8" t="s">
        <v>45</v>
      </c>
      <c r="C36" s="32"/>
      <c r="D36" s="39" t="s">
        <v>35</v>
      </c>
      <c r="E36" s="8" t="s">
        <v>48</v>
      </c>
    </row>
    <row r="37" customFormat="1" spans="1:4">
      <c r="A37" s="25">
        <v>33</v>
      </c>
      <c r="B37" t="s">
        <v>64</v>
      </c>
      <c r="D37" s="26"/>
    </row>
    <row r="38" customFormat="1" spans="1:4">
      <c r="A38" s="25">
        <v>34</v>
      </c>
      <c r="B38" t="s">
        <v>65</v>
      </c>
      <c r="D38" s="26"/>
    </row>
    <row r="39" customFormat="1" spans="1:4">
      <c r="A39" s="25">
        <v>35</v>
      </c>
      <c r="B39" t="s">
        <v>66</v>
      </c>
      <c r="D39" s="26"/>
    </row>
    <row r="40" spans="1:5">
      <c r="A40" s="25">
        <v>36</v>
      </c>
      <c r="B40" s="32" t="s">
        <v>67</v>
      </c>
      <c r="C40" s="32"/>
      <c r="D40" s="33">
        <f>SUM(D37:D39)</f>
        <v>0</v>
      </c>
      <c r="E40" s="32"/>
    </row>
    <row r="41" customFormat="1" spans="1:4">
      <c r="A41" s="25">
        <v>37</v>
      </c>
      <c r="B41" t="s">
        <v>68</v>
      </c>
      <c r="D41" s="26"/>
    </row>
    <row r="42" customFormat="1" spans="1:4">
      <c r="A42" s="25">
        <v>38</v>
      </c>
      <c r="B42" t="s">
        <v>69</v>
      </c>
      <c r="D42" s="26"/>
    </row>
    <row r="43" spans="1:5">
      <c r="A43" s="25">
        <v>39</v>
      </c>
      <c r="B43" s="32" t="s">
        <v>70</v>
      </c>
      <c r="C43" s="32"/>
      <c r="D43" s="33">
        <f>SUM(D41:D42)</f>
        <v>0</v>
      </c>
      <c r="E43" s="32"/>
    </row>
    <row r="44" spans="1:5">
      <c r="A44" s="25">
        <v>40</v>
      </c>
      <c r="B44" s="32" t="s">
        <v>71</v>
      </c>
      <c r="C44" s="32"/>
      <c r="D44" s="33">
        <f>D40-D43</f>
        <v>0</v>
      </c>
      <c r="E44" s="32"/>
    </row>
    <row r="45" spans="1:8">
      <c r="A45" s="25">
        <v>41</v>
      </c>
      <c r="B45" t="s">
        <v>72</v>
      </c>
      <c r="C45"/>
      <c r="D45"/>
      <c r="E45" s="17"/>
      <c r="F45" s="38"/>
      <c r="G45" s="38"/>
      <c r="H45" s="38"/>
    </row>
    <row r="46" spans="1:8">
      <c r="A46" s="25">
        <v>42</v>
      </c>
      <c r="B46" s="7" t="s">
        <v>73</v>
      </c>
      <c r="C46" s="34" t="s">
        <v>74</v>
      </c>
      <c r="D46" s="34" t="s">
        <v>75</v>
      </c>
      <c r="E46" s="32" t="s">
        <v>76</v>
      </c>
      <c r="F46" s="40"/>
      <c r="G46" s="40"/>
      <c r="H46" s="40"/>
    </row>
    <row r="47" spans="1:8">
      <c r="A47" s="25">
        <v>43</v>
      </c>
      <c r="B47" s="41" t="s">
        <v>160</v>
      </c>
      <c r="C47" s="42">
        <v>20070</v>
      </c>
      <c r="D47" s="43">
        <v>20070</v>
      </c>
      <c r="E47" s="19" t="s">
        <v>161</v>
      </c>
      <c r="F47" s="44"/>
      <c r="G47" s="37"/>
      <c r="H47" s="37"/>
    </row>
    <row r="48" spans="1:8">
      <c r="A48" s="25">
        <v>44</v>
      </c>
      <c r="B48" s="41" t="s">
        <v>162</v>
      </c>
      <c r="C48" s="42">
        <v>4077</v>
      </c>
      <c r="D48" s="45">
        <v>4077</v>
      </c>
      <c r="E48" s="19" t="s">
        <v>163</v>
      </c>
      <c r="F48" s="44"/>
      <c r="G48" s="37"/>
      <c r="H48" s="37"/>
    </row>
    <row r="49" spans="1:8">
      <c r="A49" s="25">
        <v>45</v>
      </c>
      <c r="B49" s="41" t="s">
        <v>164</v>
      </c>
      <c r="C49" s="46">
        <v>590</v>
      </c>
      <c r="D49" s="43">
        <v>590</v>
      </c>
      <c r="E49" s="19" t="s">
        <v>165</v>
      </c>
      <c r="F49" s="44"/>
      <c r="G49" s="37"/>
      <c r="H49" s="37"/>
    </row>
    <row r="50" spans="1:8">
      <c r="A50" s="25">
        <v>46</v>
      </c>
      <c r="B50" s="41"/>
      <c r="C50" s="47"/>
      <c r="D50" s="43"/>
      <c r="E50" s="19"/>
      <c r="F50" s="44"/>
      <c r="G50" s="37"/>
      <c r="H50" s="37"/>
    </row>
    <row r="51" spans="1:8">
      <c r="A51" s="25">
        <v>47</v>
      </c>
      <c r="B51" s="48"/>
      <c r="C51" s="49"/>
      <c r="D51" s="2"/>
      <c r="E51" s="19"/>
      <c r="F51" s="44"/>
      <c r="G51" s="37"/>
      <c r="H51" s="37"/>
    </row>
    <row r="52" spans="1:8">
      <c r="A52" s="25">
        <v>48</v>
      </c>
      <c r="B52" s="48"/>
      <c r="C52" s="49"/>
      <c r="D52" s="2"/>
      <c r="E52" s="19"/>
      <c r="F52" s="44"/>
      <c r="G52" s="37"/>
      <c r="H52" s="37"/>
    </row>
    <row r="53" spans="1:8">
      <c r="A53" s="25">
        <v>49</v>
      </c>
      <c r="B53" s="48"/>
      <c r="C53" s="49"/>
      <c r="D53" s="2"/>
      <c r="E53" s="19"/>
      <c r="F53" s="37"/>
      <c r="G53" s="37"/>
      <c r="H53" s="37"/>
    </row>
    <row r="54" spans="1:8">
      <c r="A54" s="25">
        <v>50</v>
      </c>
      <c r="B54" s="48"/>
      <c r="C54" s="49"/>
      <c r="D54" s="2"/>
      <c r="E54" s="19"/>
      <c r="F54" s="44"/>
      <c r="G54" s="44"/>
      <c r="H54" s="44"/>
    </row>
    <row r="55" spans="1:8">
      <c r="A55" s="25">
        <v>51</v>
      </c>
      <c r="B55" s="48"/>
      <c r="C55" s="49"/>
      <c r="D55" s="2"/>
      <c r="E55" s="19"/>
      <c r="F55" s="44"/>
      <c r="G55" s="37"/>
      <c r="H55" s="37"/>
    </row>
    <row r="56" spans="1:8">
      <c r="A56" s="25">
        <v>52</v>
      </c>
      <c r="B56" s="48"/>
      <c r="C56" s="49"/>
      <c r="D56" s="2"/>
      <c r="E56" s="19"/>
      <c r="F56" s="37"/>
      <c r="G56" s="37"/>
      <c r="H56" s="37"/>
    </row>
    <row r="57" spans="1:8">
      <c r="A57" s="25">
        <v>53</v>
      </c>
      <c r="B57" s="32" t="s">
        <v>77</v>
      </c>
      <c r="C57" s="50"/>
      <c r="D57" s="51">
        <f>SUM(D47:D56)</f>
        <v>24737</v>
      </c>
      <c r="E57" s="52">
        <f>SUM(E47:E56)</f>
        <v>0</v>
      </c>
      <c r="F57" s="37"/>
      <c r="G57" s="37"/>
      <c r="H57" s="37"/>
    </row>
  </sheetData>
  <printOptions gridLines="1"/>
  <pageMargins left="0.75" right="0.75" top="1" bottom="1" header="0.5" footer="0.5"/>
  <pageSetup paperSize="9" scale="81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zoomScale="130" zoomScaleNormal="130" workbookViewId="0">
      <selection activeCell="A5" sqref="A5"/>
    </sheetView>
  </sheetViews>
  <sheetFormatPr defaultColWidth="8.77777777777778" defaultRowHeight="12.75" outlineLevelCol="7"/>
  <cols>
    <col min="1" max="1" width="5.44444444444444" style="1" customWidth="1"/>
    <col min="2" max="2" width="29.1111111111111" style="2" customWidth="1"/>
    <col min="3" max="4" width="13.4444444444444" style="2" customWidth="1"/>
    <col min="5" max="6" width="13.4444444444444" style="3" customWidth="1"/>
    <col min="7" max="7" width="13.4444444444444" style="4" customWidth="1"/>
    <col min="8" max="8" width="13.4444444444444" style="2" customWidth="1"/>
    <col min="9" max="16384" width="8.77777777777778" style="2"/>
  </cols>
  <sheetData>
    <row r="1" spans="1:1">
      <c r="A1" s="1" t="s">
        <v>166</v>
      </c>
    </row>
    <row r="2" spans="1:1">
      <c r="A2" s="5" t="s">
        <v>167</v>
      </c>
    </row>
    <row r="3" spans="1:1">
      <c r="A3" s="5" t="s">
        <v>168</v>
      </c>
    </row>
    <row r="4" spans="1:1">
      <c r="A4" s="5" t="s">
        <v>169</v>
      </c>
    </row>
    <row r="5" spans="1:1">
      <c r="A5" s="1" t="s">
        <v>170</v>
      </c>
    </row>
    <row r="6" customFormat="1" ht="13.2" customHeight="1" spans="1:8">
      <c r="A6" s="6" t="s">
        <v>3</v>
      </c>
      <c r="B6" s="7" t="s">
        <v>4</v>
      </c>
      <c r="C6" s="8" t="s">
        <v>171</v>
      </c>
      <c r="D6" s="8" t="s">
        <v>147</v>
      </c>
      <c r="E6" s="8" t="s">
        <v>172</v>
      </c>
      <c r="F6" s="9" t="s">
        <v>173</v>
      </c>
      <c r="G6" s="9" t="s">
        <v>174</v>
      </c>
      <c r="H6" s="10" t="s">
        <v>175</v>
      </c>
    </row>
    <row r="7" spans="1:8">
      <c r="A7" s="1">
        <v>1</v>
      </c>
      <c r="B7" s="11" t="s">
        <v>176</v>
      </c>
      <c r="C7" s="3">
        <v>10000</v>
      </c>
      <c r="E7" s="3">
        <v>0</v>
      </c>
      <c r="F7" s="3">
        <v>0</v>
      </c>
      <c r="G7" s="12"/>
      <c r="H7" s="3"/>
    </row>
    <row r="8" spans="1:8">
      <c r="A8" s="1">
        <v>2</v>
      </c>
      <c r="E8" s="3">
        <v>0</v>
      </c>
      <c r="F8" s="3">
        <v>0</v>
      </c>
      <c r="G8" s="12"/>
      <c r="H8" s="3"/>
    </row>
    <row r="9" spans="1:8">
      <c r="A9" s="1">
        <v>3</v>
      </c>
      <c r="E9" s="3">
        <v>0</v>
      </c>
      <c r="F9" s="3">
        <v>0</v>
      </c>
      <c r="G9" s="12"/>
      <c r="H9" s="3"/>
    </row>
    <row r="10" spans="1:8">
      <c r="A10" s="1">
        <v>4</v>
      </c>
      <c r="E10" s="3">
        <v>0</v>
      </c>
      <c r="F10" s="3">
        <v>0</v>
      </c>
      <c r="G10" s="12"/>
      <c r="H10" s="3"/>
    </row>
    <row r="11" spans="1:8">
      <c r="A11" s="1">
        <v>5</v>
      </c>
      <c r="E11" s="3">
        <v>0</v>
      </c>
      <c r="F11" s="3">
        <v>0</v>
      </c>
      <c r="G11" s="12"/>
      <c r="H11" s="3"/>
    </row>
    <row r="12" spans="1:8">
      <c r="A12" s="1">
        <v>6</v>
      </c>
      <c r="E12" s="3">
        <v>0</v>
      </c>
      <c r="F12" s="3">
        <v>0</v>
      </c>
      <c r="G12" s="12"/>
      <c r="H12" s="3"/>
    </row>
    <row r="13" spans="1:8">
      <c r="A13" s="1">
        <v>7</v>
      </c>
      <c r="E13" s="3">
        <v>0</v>
      </c>
      <c r="F13" s="3">
        <v>0</v>
      </c>
      <c r="G13" s="12"/>
      <c r="H13" s="3"/>
    </row>
    <row r="14" spans="1:8">
      <c r="A14" s="1">
        <v>8</v>
      </c>
      <c r="E14" s="3">
        <v>0</v>
      </c>
      <c r="F14" s="3">
        <v>0</v>
      </c>
      <c r="G14" s="12"/>
      <c r="H14" s="3"/>
    </row>
    <row r="15" spans="1:8">
      <c r="A15" s="1">
        <v>9</v>
      </c>
      <c r="E15" s="3">
        <v>0</v>
      </c>
      <c r="F15" s="3">
        <v>0</v>
      </c>
      <c r="G15" s="12"/>
      <c r="H15" s="3"/>
    </row>
    <row r="16" spans="1:8">
      <c r="A16" s="1">
        <v>10</v>
      </c>
      <c r="E16" s="3">
        <v>0</v>
      </c>
      <c r="F16" s="3">
        <v>0</v>
      </c>
      <c r="G16" s="12"/>
      <c r="H16" s="3"/>
    </row>
    <row r="17" spans="1:8">
      <c r="A17" s="1">
        <v>11</v>
      </c>
      <c r="E17" s="3">
        <v>0</v>
      </c>
      <c r="F17" s="3">
        <v>0</v>
      </c>
      <c r="G17" s="12"/>
      <c r="H17" s="3"/>
    </row>
    <row r="18" spans="1:8">
      <c r="A18" s="1">
        <v>12</v>
      </c>
      <c r="E18" s="3">
        <v>0</v>
      </c>
      <c r="F18" s="3">
        <v>0</v>
      </c>
      <c r="G18" s="12"/>
      <c r="H18" s="3"/>
    </row>
    <row r="19" spans="1:8">
      <c r="A19" s="1">
        <v>13</v>
      </c>
      <c r="E19" s="3">
        <v>0</v>
      </c>
      <c r="F19" s="3">
        <v>0</v>
      </c>
      <c r="G19" s="12"/>
      <c r="H19" s="3"/>
    </row>
    <row r="20" spans="1:8">
      <c r="A20" s="1">
        <v>14</v>
      </c>
      <c r="E20" s="3">
        <v>0</v>
      </c>
      <c r="F20" s="3">
        <v>0</v>
      </c>
      <c r="G20" s="12"/>
      <c r="H20" s="3"/>
    </row>
    <row r="21" spans="1:8">
      <c r="A21" s="1">
        <v>15</v>
      </c>
      <c r="E21" s="3">
        <v>0</v>
      </c>
      <c r="F21" s="3">
        <v>0</v>
      </c>
      <c r="G21" s="12"/>
      <c r="H21" s="3"/>
    </row>
    <row r="22" spans="1:8">
      <c r="A22" s="1">
        <v>16</v>
      </c>
      <c r="E22" s="3">
        <v>0</v>
      </c>
      <c r="F22" s="3">
        <v>0</v>
      </c>
      <c r="G22" s="12"/>
      <c r="H22" s="3"/>
    </row>
    <row r="23" spans="1:8">
      <c r="A23" s="1">
        <v>17</v>
      </c>
      <c r="E23" s="3">
        <v>0</v>
      </c>
      <c r="F23" s="3">
        <v>0</v>
      </c>
      <c r="G23" s="12"/>
      <c r="H23" s="3"/>
    </row>
    <row r="24" spans="1:8">
      <c r="A24" s="1">
        <v>18</v>
      </c>
      <c r="E24" s="3">
        <v>0</v>
      </c>
      <c r="F24" s="3">
        <v>0</v>
      </c>
      <c r="G24" s="12"/>
      <c r="H24" s="3"/>
    </row>
    <row r="25" spans="1:8">
      <c r="A25" s="1">
        <v>19</v>
      </c>
      <c r="E25" s="3">
        <v>0</v>
      </c>
      <c r="F25" s="3">
        <v>0</v>
      </c>
      <c r="G25" s="12"/>
      <c r="H25" s="3"/>
    </row>
    <row r="26" spans="1:8">
      <c r="A26" s="1">
        <v>20</v>
      </c>
      <c r="E26" s="3">
        <v>0</v>
      </c>
      <c r="F26" s="3">
        <v>0</v>
      </c>
      <c r="G26" s="12"/>
      <c r="H26" s="3"/>
    </row>
    <row r="27" spans="7:8">
      <c r="G27" s="12"/>
      <c r="H27" s="3"/>
    </row>
    <row r="28" spans="1:1">
      <c r="A28" s="1" t="s">
        <v>177</v>
      </c>
    </row>
    <row r="29" customFormat="1" ht="13.2" customHeight="1" spans="1:8">
      <c r="A29" s="6" t="s">
        <v>3</v>
      </c>
      <c r="B29" s="7" t="s">
        <v>4</v>
      </c>
      <c r="C29" s="8" t="s">
        <v>178</v>
      </c>
      <c r="D29" s="8" t="s">
        <v>179</v>
      </c>
      <c r="E29" s="13" t="s">
        <v>180</v>
      </c>
      <c r="F29" s="9" t="s">
        <v>181</v>
      </c>
      <c r="G29" s="10"/>
      <c r="H29" s="14"/>
    </row>
    <row r="30" spans="1:8">
      <c r="A30" s="1">
        <v>1</v>
      </c>
      <c r="B30" s="15" t="s">
        <v>182</v>
      </c>
      <c r="G30" s="12"/>
      <c r="H30" s="3"/>
    </row>
    <row r="31" spans="1:8">
      <c r="A31" s="1">
        <f>A30+1</f>
        <v>2</v>
      </c>
      <c r="G31" s="12"/>
      <c r="H31" s="3"/>
    </row>
    <row r="32" spans="1:8">
      <c r="A32" s="1">
        <v>3</v>
      </c>
      <c r="G32" s="12"/>
      <c r="H32" s="3"/>
    </row>
    <row r="33" spans="1:8">
      <c r="A33" s="1">
        <v>4</v>
      </c>
      <c r="G33" s="12"/>
      <c r="H33" s="3"/>
    </row>
    <row r="34" spans="1:8">
      <c r="A34" s="1">
        <v>5</v>
      </c>
      <c r="G34" s="12"/>
      <c r="H34" s="3"/>
    </row>
    <row r="35" spans="1:8">
      <c r="A35" s="1">
        <v>6</v>
      </c>
      <c r="G35" s="12"/>
      <c r="H35" s="3"/>
    </row>
  </sheetData>
  <sheetProtection selectLockedCells="1"/>
  <printOptions gridLines="1"/>
  <pageMargins left="0.7" right="0.7" top="0.75" bottom="0.75" header="0.3" footer="0.3"/>
  <pageSetup paperSize="9" orientation="landscape" horizontalDpi="300" verticalDpi="300"/>
  <headerFooter>
    <oddHeader>&amp;C&amp;F 
&amp;A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1. Bank balance statement</vt:lpstr>
      <vt:lpstr>Summary-AE</vt:lpstr>
      <vt:lpstr>Summary-MRGLLP</vt:lpstr>
      <vt:lpstr>Summary-Siddipet</vt:lpstr>
      <vt:lpstr>Summary-PMRE</vt:lpstr>
      <vt:lpstr>Summar-VOC</vt:lpstr>
      <vt:lpstr>Summary-ESRALLP</vt:lpstr>
      <vt:lpstr>Summary-GWE</vt:lpstr>
      <vt:lpstr>Summary-LG Malakpet</vt:lpstr>
      <vt:lpstr>Summary-CRE</vt:lpstr>
      <vt:lpstr>SUMMARY-B&amp;C</vt:lpstr>
      <vt:lpstr>Summary-MV</vt:lpstr>
      <vt:lpstr>Summary-M&amp;M</vt:lpstr>
      <vt:lpstr>Summary-PMB</vt:lpstr>
      <vt:lpstr>Summary-K&amp;M</vt:lpstr>
      <vt:lpstr> Summary- Timmapur</vt:lpstr>
      <vt:lpstr>Summary-Vikarabad</vt:lpstr>
      <vt:lpstr> summary- Vikaraba(2)</vt:lpstr>
      <vt:lpstr>Summary-SC&amp;R LLP</vt:lpstr>
      <vt:lpstr>Summary-MFHHLLP</vt:lpstr>
      <vt:lpstr>Summary-Serene LLP</vt:lpstr>
      <vt:lpstr> summary- MCS</vt:lpstr>
      <vt:lpstr>Summary-SSLLP</vt:lpstr>
      <vt:lpstr>Summary-NQB</vt:lpstr>
      <vt:lpstr>Summary-MRGVHydLLP</vt:lpstr>
      <vt:lpstr>Summary -Manilal</vt:lpstr>
      <vt:lpstr>Summary-Vista Homes</vt:lpstr>
      <vt:lpstr>Summary-Miriyalaguda LLP</vt:lpstr>
      <vt:lpstr>7. Inter group loans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Modi</dc:creator>
  <cp:lastModifiedBy>accts</cp:lastModifiedBy>
  <dcterms:created xsi:type="dcterms:W3CDTF">2009-02-09T07:19:00Z</dcterms:created>
  <cp:lastPrinted>2025-05-30T13:01:00Z</cp:lastPrinted>
  <dcterms:modified xsi:type="dcterms:W3CDTF">2025-12-05T09:32:37Z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5774DA5F0E5B4D14A55CF750AF997466_13</vt:lpwstr>
  </property>
  <property fmtid="{D5CDD505-2E9C-101B-9397-08002B2CF9AE}" pid="3" name="KSOProductBuildVer">
    <vt:lpwstr>1033-12.2.0.23155</vt:lpwstr>
  </property>
  <property fmtid="{D5CDD505-2E9C-101B-9397-08002B2CF9AE}" pid="4" name="KSOReadingLayout">
    <vt:bool>true</vt:bool>
  </property>
</Properties>
</file>